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Invoice" sheetId="2" state="visible" r:id="rId4"/>
    <sheet name="Invoice Log" sheetId="3" state="visible" r:id="rId5"/>
    <sheet name="Remind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6" authorId="0">
      <text>
        <r>
          <rPr>
            <sz val="10"/>
            <rFont val="Arial"/>
            <family val="2"/>
          </rPr>
          <t xml:space="preserve">Enter your sales tax rate. What is taxable (parts, labor) varies by state and city; check with your accountant.</t>
        </r>
      </text>
    </comment>
  </commentList>
</comments>
</file>

<file path=xl/sharedStrings.xml><?xml version="1.0" encoding="utf-8"?>
<sst xmlns="http://schemas.openxmlformats.org/spreadsheetml/2006/main" count="84" uniqueCount="81">
  <si>
    <t xml:space="preserve">Invoice and Reminder Kit</t>
  </si>
  <si>
    <t xml:space="preserve">1. Invoice: replace the yellow cells with your business details, your customer and up to 10 line items. Totals, tax and the due date calculate themselves.</t>
  </si>
  <si>
    <t xml:space="preserve">2. Invoice Log: add one row per invoice you send. Due date, status and days overdue update every time you open the file.</t>
  </si>
  <si>
    <t xml:space="preserve">3. Reminders: three payment reminders, from friendly to final. Send the one that matches the Days overdue column, after replacing the words in brackets.</t>
  </si>
  <si>
    <t xml:space="preserve">Tip: in Claude for Excel, ask Claude to fill an invoice from your notes, or to list every overdue invoice with a draft reminder for each.</t>
  </si>
  <si>
    <t xml:space="preserve">Legend</t>
  </si>
  <si>
    <t xml:space="preserve">Yellow cell, blue text: fill in your own value. The values shown are a fictional example.</t>
  </si>
  <si>
    <t xml:space="preserve">Black text: formula. Don't type over it.</t>
  </si>
  <si>
    <t xml:space="preserve">Green text: formula that pulls a value from another sheet.</t>
  </si>
  <si>
    <t xml:space="preserve">From the book 30 Claude Workflows for Small Business Owners (Monarch Lane Press). All businesses and figures in the examples are fictional.</t>
  </si>
  <si>
    <t xml:space="preserve">INVOICE</t>
  </si>
  <si>
    <t xml:space="preserve">Brightline Plumbing</t>
  </si>
  <si>
    <t xml:space="preserve">Invoice #</t>
  </si>
  <si>
    <t xml:space="preserve">BP-1042</t>
  </si>
  <si>
    <t xml:space="preserve">2150 W. Indian School Rd, Suite 4, Phoenix, AZ</t>
  </si>
  <si>
    <t xml:space="preserve">Invoice date</t>
  </si>
  <si>
    <t xml:space="preserve">(602) 555-0148 | brightlineplumbing.example</t>
  </si>
  <si>
    <t xml:space="preserve">Payment terms (days)</t>
  </si>
  <si>
    <t xml:space="preserve">Due date</t>
  </si>
  <si>
    <t xml:space="preserve">Bill to</t>
  </si>
  <si>
    <t xml:space="preserve">Sun Ridge Apartments, Unit 14B</t>
  </si>
  <si>
    <t xml:space="preserve">4410 N. 19th Ave, Phoenix, AZ</t>
  </si>
  <si>
    <t xml:space="preserve">Description</t>
  </si>
  <si>
    <t xml:space="preserve">Qty</t>
  </si>
  <si>
    <t xml:space="preserve">Unit price</t>
  </si>
  <si>
    <t xml:space="preserve">Line total</t>
  </si>
  <si>
    <t xml:space="preserve">50-gallon gas water heater, installed</t>
  </si>
  <si>
    <t xml:space="preserve">Expansion tank, installed</t>
  </si>
  <si>
    <t xml:space="preserve">Gas flex connector, replaced</t>
  </si>
  <si>
    <t xml:space="preserve">Haul-away of old unit</t>
  </si>
  <si>
    <t xml:space="preserve">Subtotal</t>
  </si>
  <si>
    <t xml:space="preserve">Sales tax rate</t>
  </si>
  <si>
    <t xml:space="preserve">Sales tax</t>
  </si>
  <si>
    <t xml:space="preserve">Total</t>
  </si>
  <si>
    <t xml:space="preserve">Amount paid</t>
  </si>
  <si>
    <t xml:space="preserve">Balance due</t>
  </si>
  <si>
    <t xml:space="preserve">Payment due within 15 days, by the due date above. We accept card, check and bank transfer. Labor warranty: 2 years on water heater installations.</t>
  </si>
  <si>
    <t xml:space="preserve">Thank you for your business.</t>
  </si>
  <si>
    <t xml:space="preserve">Invoice Log</t>
  </si>
  <si>
    <t xml:space="preserve">Report date</t>
  </si>
  <si>
    <t xml:space="preserve">Uses today's date. Type a date over it to see the log as of another day.</t>
  </si>
  <si>
    <t xml:space="preserve">Default terms (days)</t>
  </si>
  <si>
    <t xml:space="preserve">Customer</t>
  </si>
  <si>
    <t xml:space="preserve">Amount</t>
  </si>
  <si>
    <t xml:space="preserve">Date paid</t>
  </si>
  <si>
    <t xml:space="preserve">Status</t>
  </si>
  <si>
    <t xml:space="preserve">Days overdue</t>
  </si>
  <si>
    <t xml:space="preserve">Open, not yet due</t>
  </si>
  <si>
    <t xml:space="preserve">BP-1036</t>
  </si>
  <si>
    <t xml:space="preserve">Sun Ridge Apartments</t>
  </si>
  <si>
    <t xml:space="preserve">Overdue</t>
  </si>
  <si>
    <t xml:space="preserve">BP-1037</t>
  </si>
  <si>
    <t xml:space="preserve">Brooks Residence</t>
  </si>
  <si>
    <t xml:space="preserve">Invoices overdue</t>
  </si>
  <si>
    <t xml:space="preserve">BP-1038</t>
  </si>
  <si>
    <t xml:space="preserve">Garcia Residence</t>
  </si>
  <si>
    <t xml:space="preserve">Oldest overdue (days)</t>
  </si>
  <si>
    <t xml:space="preserve">BP-1039</t>
  </si>
  <si>
    <t xml:space="preserve">Nguyen Residence</t>
  </si>
  <si>
    <t xml:space="preserve">BP-1040</t>
  </si>
  <si>
    <t xml:space="preserve">Desert Bloom Cafe</t>
  </si>
  <si>
    <t xml:space="preserve">BP-1041</t>
  </si>
  <si>
    <t xml:space="preserve">Lopez Residence</t>
  </si>
  <si>
    <t xml:space="preserve">Payment Reminders</t>
  </si>
  <si>
    <t xml:space="preserve">Replace the words in brackets. Mention a late fee or a collection step only if your written terms allow it.</t>
  </si>
  <si>
    <t xml:space="preserve">When to send</t>
  </si>
  <si>
    <t xml:space="preserve">Tone</t>
  </si>
  <si>
    <t xml:space="preserve">Subject</t>
  </si>
  <si>
    <t xml:space="preserve">Message</t>
  </si>
  <si>
    <t xml:space="preserve">3 days after due date</t>
  </si>
  <si>
    <t xml:space="preserve">Friendly</t>
  </si>
  <si>
    <t xml:space="preserve">Invoice [INVOICE #] from [YOUR BUSINESS]</t>
  </si>
  <si>
    <t xml:space="preserve">Hi [CUSTOMER], a quick reminder that invoice [INVOICE #] for [AMOUNT] was due on [DUE DATE]. If your payment is already on its way, thank you, and please ignore this note. You can pay by [PAYMENT METHODS]. [YOUR NAME]</t>
  </si>
  <si>
    <t xml:space="preserve">15 days after due date</t>
  </si>
  <si>
    <t xml:space="preserve">Firm</t>
  </si>
  <si>
    <t xml:space="preserve">Second notice: invoice [INVOICE #]</t>
  </si>
  <si>
    <t xml:space="preserve">Hi [CUSTOMER], invoice [INVOICE #] for [AMOUNT] is now 15 days past due. Please arrange payment by [DATE, ONE WEEK FROM TODAY]. If something about the invoice or the work isn't right, call me at [PHONE] so we can sort it out. [YOUR NAME]</t>
  </si>
  <si>
    <t xml:space="preserve">30 days after due date</t>
  </si>
  <si>
    <t xml:space="preserve">Final</t>
  </si>
  <si>
    <t xml:space="preserve">Final notice: invoice [INVOICE #]</t>
  </si>
  <si>
    <t xml:space="preserve">Hi [CUSTOMER], invoice [INVOICE #] for [AMOUNT] is now 30 days past due, and I haven't heard back. Please pay by [DATE] or call me at [PHONE]. After that date, I will [YOUR NEXT STEP, AS STATED IN YOUR TERMS]. I'd much rather settle this directly with you. [YOUR NAME]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</si>
</sst>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 d&quot;, &quot;yyyy"/>
    <numFmt numFmtId="166" formatCode="\$#,##0.00;&quot;($&quot;#,##0.00\);\-"/>
    <numFmt numFmtId="167" formatCode="0.00%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6" t="s">
        <v>8</v>
      </c>
    </row>
    <row r="13" customFormat="false" ht="15" hidden="false" customHeight="false" outlineLevel="0" collapsed="false">
      <c r="A13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6"/>
  </cols>
  <sheetData>
    <row r="2" customFormat="false" ht="22.05" hidden="false" customHeight="false" outlineLevel="0" collapsed="false">
      <c r="B2" s="8" t="s">
        <v>10</v>
      </c>
    </row>
    <row r="4" customFormat="false" ht="15" hidden="false" customHeight="false" outlineLevel="0" collapsed="false">
      <c r="B4" s="4" t="s">
        <v>11</v>
      </c>
      <c r="D4" s="3" t="s">
        <v>12</v>
      </c>
      <c r="E4" s="4" t="s">
        <v>13</v>
      </c>
    </row>
    <row r="5" customFormat="false" ht="15" hidden="false" customHeight="false" outlineLevel="0" collapsed="false">
      <c r="B5" s="4" t="s">
        <v>14</v>
      </c>
      <c r="D5" s="3" t="s">
        <v>15</v>
      </c>
      <c r="E5" s="9" t="n">
        <v>46300</v>
      </c>
    </row>
    <row r="6" customFormat="false" ht="15" hidden="false" customHeight="false" outlineLevel="0" collapsed="false">
      <c r="B6" s="4" t="s">
        <v>16</v>
      </c>
      <c r="D6" s="3" t="s">
        <v>17</v>
      </c>
      <c r="E6" s="4" t="n">
        <v>15</v>
      </c>
    </row>
    <row r="7" customFormat="false" ht="15" hidden="false" customHeight="false" outlineLevel="0" collapsed="false">
      <c r="D7" s="3" t="s">
        <v>18</v>
      </c>
      <c r="E7" s="10" t="n">
        <f aca="false">E5+E6</f>
        <v>46315</v>
      </c>
    </row>
    <row r="9" customFormat="false" ht="15" hidden="false" customHeight="false" outlineLevel="0" collapsed="false">
      <c r="B9" s="3" t="s">
        <v>19</v>
      </c>
    </row>
    <row r="10" customFormat="false" ht="15" hidden="false" customHeight="false" outlineLevel="0" collapsed="false">
      <c r="B10" s="4" t="s">
        <v>20</v>
      </c>
    </row>
    <row r="11" customFormat="false" ht="15" hidden="false" customHeight="false" outlineLevel="0" collapsed="false">
      <c r="B11" s="4" t="s">
        <v>21</v>
      </c>
    </row>
    <row r="13" customFormat="false" ht="15" hidden="false" customHeight="false" outlineLevel="0" collapsed="false">
      <c r="B13" s="11" t="s">
        <v>22</v>
      </c>
      <c r="C13" s="11" t="s">
        <v>23</v>
      </c>
      <c r="D13" s="11" t="s">
        <v>24</v>
      </c>
      <c r="E13" s="11" t="s">
        <v>25</v>
      </c>
    </row>
    <row r="14" customFormat="false" ht="15" hidden="false" customHeight="false" outlineLevel="0" collapsed="false">
      <c r="B14" s="4" t="s">
        <v>26</v>
      </c>
      <c r="C14" s="4" t="n">
        <v>1</v>
      </c>
      <c r="D14" s="12" t="n">
        <v>2150</v>
      </c>
      <c r="E14" s="13" t="n">
        <f aca="false">IF(OR(C14="",D14=""),0,C14*D14)</f>
        <v>2150</v>
      </c>
    </row>
    <row r="15" customFormat="false" ht="15" hidden="false" customHeight="false" outlineLevel="0" collapsed="false">
      <c r="B15" s="4" t="s">
        <v>27</v>
      </c>
      <c r="C15" s="4" t="n">
        <v>1</v>
      </c>
      <c r="D15" s="12" t="n">
        <v>285</v>
      </c>
      <c r="E15" s="13" t="n">
        <f aca="false">IF(OR(C15="",D15=""),0,C15*D15)</f>
        <v>285</v>
      </c>
    </row>
    <row r="16" customFormat="false" ht="15" hidden="false" customHeight="false" outlineLevel="0" collapsed="false">
      <c r="B16" s="4" t="s">
        <v>28</v>
      </c>
      <c r="C16" s="4" t="n">
        <v>1</v>
      </c>
      <c r="D16" s="12" t="n">
        <v>95</v>
      </c>
      <c r="E16" s="13" t="n">
        <f aca="false">IF(OR(C16="",D16=""),0,C16*D16)</f>
        <v>95</v>
      </c>
    </row>
    <row r="17" customFormat="false" ht="15" hidden="false" customHeight="false" outlineLevel="0" collapsed="false">
      <c r="B17" s="4" t="s">
        <v>29</v>
      </c>
      <c r="C17" s="4" t="n">
        <v>1</v>
      </c>
      <c r="D17" s="12" t="n">
        <v>75</v>
      </c>
      <c r="E17" s="13" t="n">
        <f aca="false">IF(OR(C17="",D17=""),0,C17*D17)</f>
        <v>75</v>
      </c>
    </row>
    <row r="18" customFormat="false" ht="15" hidden="false" customHeight="false" outlineLevel="0" collapsed="false">
      <c r="B18" s="4"/>
      <c r="C18" s="4"/>
      <c r="D18" s="12"/>
      <c r="E18" s="13" t="n">
        <f aca="false">IF(OR(C18="",D18=""),0,C18*D18)</f>
        <v>0</v>
      </c>
    </row>
    <row r="19" customFormat="false" ht="15" hidden="false" customHeight="false" outlineLevel="0" collapsed="false">
      <c r="B19" s="4"/>
      <c r="C19" s="4"/>
      <c r="D19" s="12"/>
      <c r="E19" s="13" t="n">
        <f aca="false">IF(OR(C19="",D19=""),0,C19*D19)</f>
        <v>0</v>
      </c>
    </row>
    <row r="20" customFormat="false" ht="15" hidden="false" customHeight="false" outlineLevel="0" collapsed="false">
      <c r="B20" s="4"/>
      <c r="C20" s="4"/>
      <c r="D20" s="12"/>
      <c r="E20" s="13" t="n">
        <f aca="false">IF(OR(C20="",D20=""),0,C20*D20)</f>
        <v>0</v>
      </c>
    </row>
    <row r="21" customFormat="false" ht="15" hidden="false" customHeight="false" outlineLevel="0" collapsed="false">
      <c r="B21" s="4"/>
      <c r="C21" s="4"/>
      <c r="D21" s="12"/>
      <c r="E21" s="13" t="n">
        <f aca="false">IF(OR(C21="",D21=""),0,C21*D21)</f>
        <v>0</v>
      </c>
    </row>
    <row r="22" customFormat="false" ht="15" hidden="false" customHeight="false" outlineLevel="0" collapsed="false">
      <c r="B22" s="4"/>
      <c r="C22" s="4"/>
      <c r="D22" s="12"/>
      <c r="E22" s="13" t="n">
        <f aca="false">IF(OR(C22="",D22=""),0,C22*D22)</f>
        <v>0</v>
      </c>
    </row>
    <row r="23" customFormat="false" ht="15" hidden="false" customHeight="false" outlineLevel="0" collapsed="false">
      <c r="B23" s="4"/>
      <c r="C23" s="4"/>
      <c r="D23" s="12"/>
      <c r="E23" s="13" t="n">
        <f aca="false">IF(OR(C23="",D23=""),0,C23*D23)</f>
        <v>0</v>
      </c>
    </row>
    <row r="25" customFormat="false" ht="15" hidden="false" customHeight="false" outlineLevel="0" collapsed="false">
      <c r="D25" s="5" t="s">
        <v>30</v>
      </c>
      <c r="E25" s="13" t="n">
        <f aca="false">SUM(E14:E23)</f>
        <v>2605</v>
      </c>
    </row>
    <row r="26" customFormat="false" ht="15" hidden="false" customHeight="false" outlineLevel="0" collapsed="false">
      <c r="D26" s="5" t="s">
        <v>31</v>
      </c>
      <c r="E26" s="14" t="n">
        <v>0</v>
      </c>
    </row>
    <row r="27" customFormat="false" ht="15" hidden="false" customHeight="false" outlineLevel="0" collapsed="false">
      <c r="D27" s="5" t="s">
        <v>32</v>
      </c>
      <c r="E27" s="13" t="n">
        <f aca="false">ROUND(E25*E26,2)</f>
        <v>0</v>
      </c>
    </row>
    <row r="28" customFormat="false" ht="15" hidden="false" customHeight="false" outlineLevel="0" collapsed="false">
      <c r="D28" s="3" t="s">
        <v>33</v>
      </c>
      <c r="E28" s="15" t="n">
        <f aca="false">E25+E27</f>
        <v>2605</v>
      </c>
    </row>
    <row r="29" customFormat="false" ht="15" hidden="false" customHeight="false" outlineLevel="0" collapsed="false">
      <c r="D29" s="5" t="s">
        <v>34</v>
      </c>
      <c r="E29" s="12" t="n">
        <v>0</v>
      </c>
    </row>
    <row r="30" customFormat="false" ht="15" hidden="false" customHeight="false" outlineLevel="0" collapsed="false">
      <c r="D30" s="3" t="s">
        <v>35</v>
      </c>
      <c r="E30" s="15" t="n">
        <f aca="false">E28-E29</f>
        <v>2605</v>
      </c>
    </row>
    <row r="32" customFormat="false" ht="30" hidden="false" customHeight="true" outlineLevel="0" collapsed="false">
      <c r="B32" s="16" t="s">
        <v>36</v>
      </c>
    </row>
    <row r="34" customFormat="false" ht="15" hidden="false" customHeight="false" outlineLevel="0" collapsed="false">
      <c r="B34" s="1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3"/>
    <col collapsed="false" customWidth="true" hidden="false" outlineLevel="0" max="10" min="10" style="0" width="26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3" t="s">
        <v>39</v>
      </c>
      <c r="B2" s="10" t="n">
        <f aca="true">TODAY()</f>
        <v>46304</v>
      </c>
      <c r="C2" s="7" t="s">
        <v>40</v>
      </c>
    </row>
    <row r="3" customFormat="false" ht="15" hidden="false" customHeight="false" outlineLevel="0" collapsed="false">
      <c r="A3" s="3" t="s">
        <v>41</v>
      </c>
      <c r="B3" s="4" t="n">
        <v>15</v>
      </c>
    </row>
    <row r="5" customFormat="false" ht="15" hidden="false" customHeight="false" outlineLevel="0" collapsed="false">
      <c r="A5" s="11" t="s">
        <v>12</v>
      </c>
      <c r="B5" s="11" t="s">
        <v>42</v>
      </c>
      <c r="C5" s="11" t="s">
        <v>15</v>
      </c>
      <c r="D5" s="11" t="s">
        <v>18</v>
      </c>
      <c r="E5" s="11" t="s">
        <v>43</v>
      </c>
      <c r="F5" s="11" t="s">
        <v>44</v>
      </c>
      <c r="G5" s="11" t="s">
        <v>45</v>
      </c>
      <c r="H5" s="11" t="s">
        <v>46</v>
      </c>
      <c r="J5" s="3" t="s">
        <v>47</v>
      </c>
      <c r="K5" s="13" t="n">
        <f aca="false">SUMIFS($E$6:$E$55,$G$6:$G$55,"Open")</f>
        <v>1980</v>
      </c>
    </row>
    <row r="6" customFormat="false" ht="15" hidden="false" customHeight="false" outlineLevel="0" collapsed="false">
      <c r="A6" s="4" t="s">
        <v>48</v>
      </c>
      <c r="B6" s="4" t="s">
        <v>49</v>
      </c>
      <c r="C6" s="9" t="n">
        <v>46254</v>
      </c>
      <c r="D6" s="10" t="n">
        <f aca="false">IF(C6="","",C6+$B$3)</f>
        <v>46269</v>
      </c>
      <c r="E6" s="12" t="n">
        <v>1240</v>
      </c>
      <c r="F6" s="9" t="n">
        <v>46267</v>
      </c>
      <c r="G6" s="18" t="str">
        <f aca="false">IF(A6="","",IF(F6&lt;&gt;"","Paid",IF($B$2&gt;D6,"Overdue","Open")))</f>
        <v>Paid</v>
      </c>
      <c r="H6" s="19" t="str">
        <f aca="false">IF(OR(A6="",F6&lt;&gt;""),"",MAX(0,$B$2-D6))</f>
        <v/>
      </c>
      <c r="J6" s="3" t="s">
        <v>50</v>
      </c>
      <c r="K6" s="13" t="n">
        <f aca="false">SUMIFS($E$6:$E$55,$G$6:$G$55,"Overdue")</f>
        <v>4155</v>
      </c>
    </row>
    <row r="7" customFormat="false" ht="15" hidden="false" customHeight="false" outlineLevel="0" collapsed="false">
      <c r="A7" s="4" t="s">
        <v>51</v>
      </c>
      <c r="B7" s="4" t="s">
        <v>52</v>
      </c>
      <c r="C7" s="9" t="n">
        <v>46262</v>
      </c>
      <c r="D7" s="10" t="n">
        <f aca="false">IF(C7="","",C7+$B$3)</f>
        <v>46277</v>
      </c>
      <c r="E7" s="12" t="n">
        <v>385</v>
      </c>
      <c r="F7" s="9" t="n">
        <v>46275</v>
      </c>
      <c r="G7" s="18" t="str">
        <f aca="false">IF(A7="","",IF(F7&lt;&gt;"","Paid",IF($B$2&gt;D7,"Overdue","Open")))</f>
        <v>Paid</v>
      </c>
      <c r="H7" s="19" t="str">
        <f aca="false">IF(OR(A7="",F7&lt;&gt;""),"",MAX(0,$B$2-D7))</f>
        <v/>
      </c>
      <c r="J7" s="3" t="s">
        <v>53</v>
      </c>
      <c r="K7" s="19" t="n">
        <f aca="false">COUNTIF($G$6:$G$55,"Overdue")</f>
        <v>3</v>
      </c>
    </row>
    <row r="8" customFormat="false" ht="15" hidden="false" customHeight="false" outlineLevel="0" collapsed="false">
      <c r="A8" s="4" t="s">
        <v>54</v>
      </c>
      <c r="B8" s="4" t="s">
        <v>55</v>
      </c>
      <c r="C8" s="9" t="n">
        <v>46270</v>
      </c>
      <c r="D8" s="10" t="n">
        <f aca="false">IF(C8="","",C8+$B$3)</f>
        <v>46285</v>
      </c>
      <c r="E8" s="12" t="n">
        <v>2605</v>
      </c>
      <c r="F8" s="9"/>
      <c r="G8" s="18" t="str">
        <f aca="false">IF(A8="","",IF(F8&lt;&gt;"","Paid",IF($B$2&gt;D8,"Overdue","Open")))</f>
        <v>Overdue</v>
      </c>
      <c r="H8" s="19" t="n">
        <f aca="false">IF(OR(A8="",F8&lt;&gt;""),"",MAX(0,$B$2-D8))</f>
        <v>19</v>
      </c>
      <c r="J8" s="3" t="s">
        <v>56</v>
      </c>
      <c r="K8" s="19" t="n">
        <f aca="false">MAX($H$6:$H$55)</f>
        <v>19</v>
      </c>
    </row>
    <row r="9" customFormat="false" ht="15" hidden="false" customHeight="false" outlineLevel="0" collapsed="false">
      <c r="A9" s="4" t="s">
        <v>57</v>
      </c>
      <c r="B9" s="4" t="s">
        <v>58</v>
      </c>
      <c r="C9" s="9" t="n">
        <v>46277</v>
      </c>
      <c r="D9" s="10" t="n">
        <f aca="false">IF(C9="","",C9+$B$3)</f>
        <v>46292</v>
      </c>
      <c r="E9" s="12" t="n">
        <v>640</v>
      </c>
      <c r="F9" s="9"/>
      <c r="G9" s="18" t="str">
        <f aca="false">IF(A9="","",IF(F9&lt;&gt;"","Paid",IF($B$2&gt;D9,"Overdue","Open")))</f>
        <v>Overdue</v>
      </c>
      <c r="H9" s="19" t="n">
        <f aca="false">IF(OR(A9="",F9&lt;&gt;""),"",MAX(0,$B$2-D9))</f>
        <v>12</v>
      </c>
    </row>
    <row r="10" customFormat="false" ht="15" hidden="false" customHeight="false" outlineLevel="0" collapsed="false">
      <c r="A10" s="4" t="s">
        <v>59</v>
      </c>
      <c r="B10" s="4" t="s">
        <v>60</v>
      </c>
      <c r="C10" s="9" t="n">
        <v>46287</v>
      </c>
      <c r="D10" s="10" t="n">
        <f aca="false">IF(C10="","",C10+$B$3)</f>
        <v>46302</v>
      </c>
      <c r="E10" s="12" t="n">
        <v>910</v>
      </c>
      <c r="F10" s="9"/>
      <c r="G10" s="18" t="str">
        <f aca="false">IF(A10="","",IF(F10&lt;&gt;"","Paid",IF($B$2&gt;D10,"Overdue","Open")))</f>
        <v>Overdue</v>
      </c>
      <c r="H10" s="19" t="n">
        <f aca="false">IF(OR(A10="",F10&lt;&gt;""),"",MAX(0,$B$2-D10))</f>
        <v>2</v>
      </c>
    </row>
    <row r="11" customFormat="false" ht="15" hidden="false" customHeight="false" outlineLevel="0" collapsed="false">
      <c r="A11" s="4" t="s">
        <v>61</v>
      </c>
      <c r="B11" s="4" t="s">
        <v>62</v>
      </c>
      <c r="C11" s="9" t="n">
        <v>46296</v>
      </c>
      <c r="D11" s="10" t="n">
        <f aca="false">IF(C11="","",C11+$B$3)</f>
        <v>46311</v>
      </c>
      <c r="E11" s="12" t="n">
        <v>1980</v>
      </c>
      <c r="F11" s="9"/>
      <c r="G11" s="18" t="str">
        <f aca="false">IF(A11="","",IF(F11&lt;&gt;"","Paid",IF($B$2&gt;D11,"Overdue","Open")))</f>
        <v>Open</v>
      </c>
      <c r="H11" s="19" t="n">
        <f aca="false">IF(OR(A11="",F11&lt;&gt;""),"",MAX(0,$B$2-D11))</f>
        <v>0</v>
      </c>
    </row>
    <row r="12" customFormat="false" ht="15" hidden="false" customHeight="false" outlineLevel="0" collapsed="false">
      <c r="A12" s="4"/>
      <c r="B12" s="4"/>
      <c r="C12" s="9"/>
      <c r="D12" s="10" t="str">
        <f aca="false">IF(C12="","",C12+$B$3)</f>
        <v/>
      </c>
      <c r="E12" s="12"/>
      <c r="F12" s="9"/>
      <c r="G12" s="18" t="str">
        <f aca="false">IF(A12="","",IF(F12&lt;&gt;"","Paid",IF($B$2&gt;D12,"Overdue","Open")))</f>
        <v/>
      </c>
      <c r="H12" s="19" t="str">
        <f aca="false">IF(OR(A12="",F12&lt;&gt;""),"",MAX(0,$B$2-D12))</f>
        <v/>
      </c>
    </row>
    <row r="13" customFormat="false" ht="15" hidden="false" customHeight="false" outlineLevel="0" collapsed="false">
      <c r="A13" s="4"/>
      <c r="B13" s="4"/>
      <c r="C13" s="9"/>
      <c r="D13" s="10" t="str">
        <f aca="false">IF(C13="","",C13+$B$3)</f>
        <v/>
      </c>
      <c r="E13" s="12"/>
      <c r="F13" s="9"/>
      <c r="G13" s="18" t="str">
        <f aca="false">IF(A13="","",IF(F13&lt;&gt;"","Paid",IF($B$2&gt;D13,"Overdue","Open")))</f>
        <v/>
      </c>
      <c r="H13" s="19" t="str">
        <f aca="false">IF(OR(A13="",F13&lt;&gt;""),"",MAX(0,$B$2-D13))</f>
        <v/>
      </c>
    </row>
    <row r="14" customFormat="false" ht="15" hidden="false" customHeight="false" outlineLevel="0" collapsed="false">
      <c r="A14" s="4"/>
      <c r="B14" s="4"/>
      <c r="C14" s="9"/>
      <c r="D14" s="10" t="str">
        <f aca="false">IF(C14="","",C14+$B$3)</f>
        <v/>
      </c>
      <c r="E14" s="12"/>
      <c r="F14" s="9"/>
      <c r="G14" s="18" t="str">
        <f aca="false">IF(A14="","",IF(F14&lt;&gt;"","Paid",IF($B$2&gt;D14,"Overdue","Open")))</f>
        <v/>
      </c>
      <c r="H14" s="19" t="str">
        <f aca="false">IF(OR(A14="",F14&lt;&gt;""),"",MAX(0,$B$2-D14))</f>
        <v/>
      </c>
    </row>
    <row r="15" customFormat="false" ht="15" hidden="false" customHeight="false" outlineLevel="0" collapsed="false">
      <c r="A15" s="4"/>
      <c r="B15" s="4"/>
      <c r="C15" s="9"/>
      <c r="D15" s="10" t="str">
        <f aca="false">IF(C15="","",C15+$B$3)</f>
        <v/>
      </c>
      <c r="E15" s="12"/>
      <c r="F15" s="9"/>
      <c r="G15" s="18" t="str">
        <f aca="false">IF(A15="","",IF(F15&lt;&gt;"","Paid",IF($B$2&gt;D15,"Overdue","Open")))</f>
        <v/>
      </c>
      <c r="H15" s="19" t="str">
        <f aca="false">IF(OR(A15="",F15&lt;&gt;""),"",MAX(0,$B$2-D15))</f>
        <v/>
      </c>
    </row>
    <row r="16" customFormat="false" ht="15" hidden="false" customHeight="false" outlineLevel="0" collapsed="false">
      <c r="A16" s="4"/>
      <c r="B16" s="4"/>
      <c r="C16" s="9"/>
      <c r="D16" s="10" t="str">
        <f aca="false">IF(C16="","",C16+$B$3)</f>
        <v/>
      </c>
      <c r="E16" s="12"/>
      <c r="F16" s="9"/>
      <c r="G16" s="18" t="str">
        <f aca="false">IF(A16="","",IF(F16&lt;&gt;"","Paid",IF($B$2&gt;D16,"Overdue","Open")))</f>
        <v/>
      </c>
      <c r="H16" s="19" t="str">
        <f aca="false">IF(OR(A16="",F16&lt;&gt;""),"",MAX(0,$B$2-D16))</f>
        <v/>
      </c>
    </row>
    <row r="17" customFormat="false" ht="15" hidden="false" customHeight="false" outlineLevel="0" collapsed="false">
      <c r="A17" s="4"/>
      <c r="B17" s="4"/>
      <c r="C17" s="9"/>
      <c r="D17" s="10" t="str">
        <f aca="false">IF(C17="","",C17+$B$3)</f>
        <v/>
      </c>
      <c r="E17" s="12"/>
      <c r="F17" s="9"/>
      <c r="G17" s="18" t="str">
        <f aca="false">IF(A17="","",IF(F17&lt;&gt;"","Paid",IF($B$2&gt;D17,"Overdue","Open")))</f>
        <v/>
      </c>
      <c r="H17" s="19" t="str">
        <f aca="false">IF(OR(A17="",F17&lt;&gt;""),"",MAX(0,$B$2-D17))</f>
        <v/>
      </c>
    </row>
    <row r="18" customFormat="false" ht="15" hidden="false" customHeight="false" outlineLevel="0" collapsed="false">
      <c r="A18" s="4"/>
      <c r="B18" s="4"/>
      <c r="C18" s="9"/>
      <c r="D18" s="10" t="str">
        <f aca="false">IF(C18="","",C18+$B$3)</f>
        <v/>
      </c>
      <c r="E18" s="12"/>
      <c r="F18" s="9"/>
      <c r="G18" s="18" t="str">
        <f aca="false">IF(A18="","",IF(F18&lt;&gt;"","Paid",IF($B$2&gt;D18,"Overdue","Open")))</f>
        <v/>
      </c>
      <c r="H18" s="19" t="str">
        <f aca="false">IF(OR(A18="",F18&lt;&gt;""),"",MAX(0,$B$2-D18))</f>
        <v/>
      </c>
    </row>
    <row r="19" customFormat="false" ht="15" hidden="false" customHeight="false" outlineLevel="0" collapsed="false">
      <c r="A19" s="4"/>
      <c r="B19" s="4"/>
      <c r="C19" s="9"/>
      <c r="D19" s="10" t="str">
        <f aca="false">IF(C19="","",C19+$B$3)</f>
        <v/>
      </c>
      <c r="E19" s="12"/>
      <c r="F19" s="9"/>
      <c r="G19" s="18" t="str">
        <f aca="false">IF(A19="","",IF(F19&lt;&gt;"","Paid",IF($B$2&gt;D19,"Overdue","Open")))</f>
        <v/>
      </c>
      <c r="H19" s="19" t="str">
        <f aca="false">IF(OR(A19="",F19&lt;&gt;""),"",MAX(0,$B$2-D19))</f>
        <v/>
      </c>
    </row>
    <row r="20" customFormat="false" ht="15" hidden="false" customHeight="false" outlineLevel="0" collapsed="false">
      <c r="A20" s="4"/>
      <c r="B20" s="4"/>
      <c r="C20" s="9"/>
      <c r="D20" s="10" t="str">
        <f aca="false">IF(C20="","",C20+$B$3)</f>
        <v/>
      </c>
      <c r="E20" s="12"/>
      <c r="F20" s="9"/>
      <c r="G20" s="18" t="str">
        <f aca="false">IF(A20="","",IF(F20&lt;&gt;"","Paid",IF($B$2&gt;D20,"Overdue","Open")))</f>
        <v/>
      </c>
      <c r="H20" s="19" t="str">
        <f aca="false">IF(OR(A20="",F20&lt;&gt;""),"",MAX(0,$B$2-D20))</f>
        <v/>
      </c>
    </row>
    <row r="21" customFormat="false" ht="15" hidden="false" customHeight="false" outlineLevel="0" collapsed="false">
      <c r="A21" s="4"/>
      <c r="B21" s="4"/>
      <c r="C21" s="9"/>
      <c r="D21" s="10" t="str">
        <f aca="false">IF(C21="","",C21+$B$3)</f>
        <v/>
      </c>
      <c r="E21" s="12"/>
      <c r="F21" s="9"/>
      <c r="G21" s="18" t="str">
        <f aca="false">IF(A21="","",IF(F21&lt;&gt;"","Paid",IF($B$2&gt;D21,"Overdue","Open")))</f>
        <v/>
      </c>
      <c r="H21" s="19" t="str">
        <f aca="false">IF(OR(A21="",F21&lt;&gt;""),"",MAX(0,$B$2-D21))</f>
        <v/>
      </c>
    </row>
    <row r="22" customFormat="false" ht="15" hidden="false" customHeight="false" outlineLevel="0" collapsed="false">
      <c r="A22" s="4"/>
      <c r="B22" s="4"/>
      <c r="C22" s="9"/>
      <c r="D22" s="10" t="str">
        <f aca="false">IF(C22="","",C22+$B$3)</f>
        <v/>
      </c>
      <c r="E22" s="12"/>
      <c r="F22" s="9"/>
      <c r="G22" s="18" t="str">
        <f aca="false">IF(A22="","",IF(F22&lt;&gt;"","Paid",IF($B$2&gt;D22,"Overdue","Open")))</f>
        <v/>
      </c>
      <c r="H22" s="19" t="str">
        <f aca="false">IF(OR(A22="",F22&lt;&gt;""),"",MAX(0,$B$2-D22))</f>
        <v/>
      </c>
    </row>
    <row r="23" customFormat="false" ht="15" hidden="false" customHeight="false" outlineLevel="0" collapsed="false">
      <c r="A23" s="4"/>
      <c r="B23" s="4"/>
      <c r="C23" s="9"/>
      <c r="D23" s="10" t="str">
        <f aca="false">IF(C23="","",C23+$B$3)</f>
        <v/>
      </c>
      <c r="E23" s="12"/>
      <c r="F23" s="9"/>
      <c r="G23" s="18" t="str">
        <f aca="false">IF(A23="","",IF(F23&lt;&gt;"","Paid",IF($B$2&gt;D23,"Overdue","Open")))</f>
        <v/>
      </c>
      <c r="H23" s="19" t="str">
        <f aca="false">IF(OR(A23="",F23&lt;&gt;""),"",MAX(0,$B$2-D23))</f>
        <v/>
      </c>
    </row>
    <row r="24" customFormat="false" ht="15" hidden="false" customHeight="false" outlineLevel="0" collapsed="false">
      <c r="A24" s="4"/>
      <c r="B24" s="4"/>
      <c r="C24" s="9"/>
      <c r="D24" s="10" t="str">
        <f aca="false">IF(C24="","",C24+$B$3)</f>
        <v/>
      </c>
      <c r="E24" s="12"/>
      <c r="F24" s="9"/>
      <c r="G24" s="18" t="str">
        <f aca="false">IF(A24="","",IF(F24&lt;&gt;"","Paid",IF($B$2&gt;D24,"Overdue","Open")))</f>
        <v/>
      </c>
      <c r="H24" s="19" t="str">
        <f aca="false">IF(OR(A24="",F24&lt;&gt;""),"",MAX(0,$B$2-D24))</f>
        <v/>
      </c>
    </row>
    <row r="25" customFormat="false" ht="15" hidden="false" customHeight="false" outlineLevel="0" collapsed="false">
      <c r="A25" s="4"/>
      <c r="B25" s="4"/>
      <c r="C25" s="9"/>
      <c r="D25" s="10" t="str">
        <f aca="false">IF(C25="","",C25+$B$3)</f>
        <v/>
      </c>
      <c r="E25" s="12"/>
      <c r="F25" s="9"/>
      <c r="G25" s="18" t="str">
        <f aca="false">IF(A25="","",IF(F25&lt;&gt;"","Paid",IF($B$2&gt;D25,"Overdue","Open")))</f>
        <v/>
      </c>
      <c r="H25" s="19" t="str">
        <f aca="false">IF(OR(A25="",F25&lt;&gt;""),"",MAX(0,$B$2-D25))</f>
        <v/>
      </c>
    </row>
    <row r="26" customFormat="false" ht="15" hidden="false" customHeight="false" outlineLevel="0" collapsed="false">
      <c r="A26" s="4"/>
      <c r="B26" s="4"/>
      <c r="C26" s="9"/>
      <c r="D26" s="10" t="str">
        <f aca="false">IF(C26="","",C26+$B$3)</f>
        <v/>
      </c>
      <c r="E26" s="12"/>
      <c r="F26" s="9"/>
      <c r="G26" s="18" t="str">
        <f aca="false">IF(A26="","",IF(F26&lt;&gt;"","Paid",IF($B$2&gt;D26,"Overdue","Open")))</f>
        <v/>
      </c>
      <c r="H26" s="19" t="str">
        <f aca="false">IF(OR(A26="",F26&lt;&gt;""),"",MAX(0,$B$2-D26))</f>
        <v/>
      </c>
    </row>
    <row r="27" customFormat="false" ht="15" hidden="false" customHeight="false" outlineLevel="0" collapsed="false">
      <c r="A27" s="4"/>
      <c r="B27" s="4"/>
      <c r="C27" s="9"/>
      <c r="D27" s="10" t="str">
        <f aca="false">IF(C27="","",C27+$B$3)</f>
        <v/>
      </c>
      <c r="E27" s="12"/>
      <c r="F27" s="9"/>
      <c r="G27" s="18" t="str">
        <f aca="false">IF(A27="","",IF(F27&lt;&gt;"","Paid",IF($B$2&gt;D27,"Overdue","Open")))</f>
        <v/>
      </c>
      <c r="H27" s="19" t="str">
        <f aca="false">IF(OR(A27="",F27&lt;&gt;""),"",MAX(0,$B$2-D27))</f>
        <v/>
      </c>
    </row>
    <row r="28" customFormat="false" ht="15" hidden="false" customHeight="false" outlineLevel="0" collapsed="false">
      <c r="A28" s="4"/>
      <c r="B28" s="4"/>
      <c r="C28" s="9"/>
      <c r="D28" s="10" t="str">
        <f aca="false">IF(C28="","",C28+$B$3)</f>
        <v/>
      </c>
      <c r="E28" s="12"/>
      <c r="F28" s="9"/>
      <c r="G28" s="18" t="str">
        <f aca="false">IF(A28="","",IF(F28&lt;&gt;"","Paid",IF($B$2&gt;D28,"Overdue","Open")))</f>
        <v/>
      </c>
      <c r="H28" s="19" t="str">
        <f aca="false">IF(OR(A28="",F28&lt;&gt;""),"",MAX(0,$B$2-D28))</f>
        <v/>
      </c>
    </row>
    <row r="29" customFormat="false" ht="15" hidden="false" customHeight="false" outlineLevel="0" collapsed="false">
      <c r="A29" s="4"/>
      <c r="B29" s="4"/>
      <c r="C29" s="9"/>
      <c r="D29" s="10" t="str">
        <f aca="false">IF(C29="","",C29+$B$3)</f>
        <v/>
      </c>
      <c r="E29" s="12"/>
      <c r="F29" s="9"/>
      <c r="G29" s="18" t="str">
        <f aca="false">IF(A29="","",IF(F29&lt;&gt;"","Paid",IF($B$2&gt;D29,"Overdue","Open")))</f>
        <v/>
      </c>
      <c r="H29" s="19" t="str">
        <f aca="false">IF(OR(A29="",F29&lt;&gt;""),"",MAX(0,$B$2-D29))</f>
        <v/>
      </c>
    </row>
    <row r="30" customFormat="false" ht="15" hidden="false" customHeight="false" outlineLevel="0" collapsed="false">
      <c r="A30" s="4"/>
      <c r="B30" s="4"/>
      <c r="C30" s="9"/>
      <c r="D30" s="10" t="str">
        <f aca="false">IF(C30="","",C30+$B$3)</f>
        <v/>
      </c>
      <c r="E30" s="12"/>
      <c r="F30" s="9"/>
      <c r="G30" s="18" t="str">
        <f aca="false">IF(A30="","",IF(F30&lt;&gt;"","Paid",IF($B$2&gt;D30,"Overdue","Open")))</f>
        <v/>
      </c>
      <c r="H30" s="19" t="str">
        <f aca="false">IF(OR(A30="",F30&lt;&gt;""),"",MAX(0,$B$2-D30))</f>
        <v/>
      </c>
    </row>
    <row r="31" customFormat="false" ht="15" hidden="false" customHeight="false" outlineLevel="0" collapsed="false">
      <c r="A31" s="4"/>
      <c r="B31" s="4"/>
      <c r="C31" s="9"/>
      <c r="D31" s="10" t="str">
        <f aca="false">IF(C31="","",C31+$B$3)</f>
        <v/>
      </c>
      <c r="E31" s="12"/>
      <c r="F31" s="9"/>
      <c r="G31" s="18" t="str">
        <f aca="false">IF(A31="","",IF(F31&lt;&gt;"","Paid",IF($B$2&gt;D31,"Overdue","Open")))</f>
        <v/>
      </c>
      <c r="H31" s="19" t="str">
        <f aca="false">IF(OR(A31="",F31&lt;&gt;""),"",MAX(0,$B$2-D31))</f>
        <v/>
      </c>
    </row>
    <row r="32" customFormat="false" ht="15" hidden="false" customHeight="false" outlineLevel="0" collapsed="false">
      <c r="A32" s="4"/>
      <c r="B32" s="4"/>
      <c r="C32" s="9"/>
      <c r="D32" s="10" t="str">
        <f aca="false">IF(C32="","",C32+$B$3)</f>
        <v/>
      </c>
      <c r="E32" s="12"/>
      <c r="F32" s="9"/>
      <c r="G32" s="18" t="str">
        <f aca="false">IF(A32="","",IF(F32&lt;&gt;"","Paid",IF($B$2&gt;D32,"Overdue","Open")))</f>
        <v/>
      </c>
      <c r="H32" s="19" t="str">
        <f aca="false">IF(OR(A32="",F32&lt;&gt;""),"",MAX(0,$B$2-D32))</f>
        <v/>
      </c>
    </row>
    <row r="33" customFormat="false" ht="15" hidden="false" customHeight="false" outlineLevel="0" collapsed="false">
      <c r="A33" s="4"/>
      <c r="B33" s="4"/>
      <c r="C33" s="9"/>
      <c r="D33" s="10" t="str">
        <f aca="false">IF(C33="","",C33+$B$3)</f>
        <v/>
      </c>
      <c r="E33" s="12"/>
      <c r="F33" s="9"/>
      <c r="G33" s="18" t="str">
        <f aca="false">IF(A33="","",IF(F33&lt;&gt;"","Paid",IF($B$2&gt;D33,"Overdue","Open")))</f>
        <v/>
      </c>
      <c r="H33" s="19" t="str">
        <f aca="false">IF(OR(A33="",F33&lt;&gt;""),"",MAX(0,$B$2-D33))</f>
        <v/>
      </c>
    </row>
    <row r="34" customFormat="false" ht="15" hidden="false" customHeight="false" outlineLevel="0" collapsed="false">
      <c r="A34" s="4"/>
      <c r="B34" s="4"/>
      <c r="C34" s="9"/>
      <c r="D34" s="10" t="str">
        <f aca="false">IF(C34="","",C34+$B$3)</f>
        <v/>
      </c>
      <c r="E34" s="12"/>
      <c r="F34" s="9"/>
      <c r="G34" s="18" t="str">
        <f aca="false">IF(A34="","",IF(F34&lt;&gt;"","Paid",IF($B$2&gt;D34,"Overdue","Open")))</f>
        <v/>
      </c>
      <c r="H34" s="19" t="str">
        <f aca="false">IF(OR(A34="",F34&lt;&gt;""),"",MAX(0,$B$2-D34))</f>
        <v/>
      </c>
    </row>
    <row r="35" customFormat="false" ht="15" hidden="false" customHeight="false" outlineLevel="0" collapsed="false">
      <c r="A35" s="4"/>
      <c r="B35" s="4"/>
      <c r="C35" s="9"/>
      <c r="D35" s="10" t="str">
        <f aca="false">IF(C35="","",C35+$B$3)</f>
        <v/>
      </c>
      <c r="E35" s="12"/>
      <c r="F35" s="9"/>
      <c r="G35" s="18" t="str">
        <f aca="false">IF(A35="","",IF(F35&lt;&gt;"","Paid",IF($B$2&gt;D35,"Overdue","Open")))</f>
        <v/>
      </c>
      <c r="H35" s="19" t="str">
        <f aca="false">IF(OR(A35="",F35&lt;&gt;""),"",MAX(0,$B$2-D35))</f>
        <v/>
      </c>
    </row>
    <row r="36" customFormat="false" ht="15" hidden="false" customHeight="false" outlineLevel="0" collapsed="false">
      <c r="A36" s="4"/>
      <c r="B36" s="4"/>
      <c r="C36" s="9"/>
      <c r="D36" s="10" t="str">
        <f aca="false">IF(C36="","",C36+$B$3)</f>
        <v/>
      </c>
      <c r="E36" s="12"/>
      <c r="F36" s="9"/>
      <c r="G36" s="18" t="str">
        <f aca="false">IF(A36="","",IF(F36&lt;&gt;"","Paid",IF($B$2&gt;D36,"Overdue","Open")))</f>
        <v/>
      </c>
      <c r="H36" s="19" t="str">
        <f aca="false">IF(OR(A36="",F36&lt;&gt;""),"",MAX(0,$B$2-D36))</f>
        <v/>
      </c>
    </row>
    <row r="37" customFormat="false" ht="15" hidden="false" customHeight="false" outlineLevel="0" collapsed="false">
      <c r="A37" s="4"/>
      <c r="B37" s="4"/>
      <c r="C37" s="9"/>
      <c r="D37" s="10" t="str">
        <f aca="false">IF(C37="","",C37+$B$3)</f>
        <v/>
      </c>
      <c r="E37" s="12"/>
      <c r="F37" s="9"/>
      <c r="G37" s="18" t="str">
        <f aca="false">IF(A37="","",IF(F37&lt;&gt;"","Paid",IF($B$2&gt;D37,"Overdue","Open")))</f>
        <v/>
      </c>
      <c r="H37" s="19" t="str">
        <f aca="false">IF(OR(A37="",F37&lt;&gt;""),"",MAX(0,$B$2-D37))</f>
        <v/>
      </c>
    </row>
    <row r="38" customFormat="false" ht="15" hidden="false" customHeight="false" outlineLevel="0" collapsed="false">
      <c r="A38" s="4"/>
      <c r="B38" s="4"/>
      <c r="C38" s="9"/>
      <c r="D38" s="10" t="str">
        <f aca="false">IF(C38="","",C38+$B$3)</f>
        <v/>
      </c>
      <c r="E38" s="12"/>
      <c r="F38" s="9"/>
      <c r="G38" s="18" t="str">
        <f aca="false">IF(A38="","",IF(F38&lt;&gt;"","Paid",IF($B$2&gt;D38,"Overdue","Open")))</f>
        <v/>
      </c>
      <c r="H38" s="19" t="str">
        <f aca="false">IF(OR(A38="",F38&lt;&gt;""),"",MAX(0,$B$2-D38))</f>
        <v/>
      </c>
    </row>
    <row r="39" customFormat="false" ht="15" hidden="false" customHeight="false" outlineLevel="0" collapsed="false">
      <c r="A39" s="4"/>
      <c r="B39" s="4"/>
      <c r="C39" s="9"/>
      <c r="D39" s="10" t="str">
        <f aca="false">IF(C39="","",C39+$B$3)</f>
        <v/>
      </c>
      <c r="E39" s="12"/>
      <c r="F39" s="9"/>
      <c r="G39" s="18" t="str">
        <f aca="false">IF(A39="","",IF(F39&lt;&gt;"","Paid",IF($B$2&gt;D39,"Overdue","Open")))</f>
        <v/>
      </c>
      <c r="H39" s="19" t="str">
        <f aca="false">IF(OR(A39="",F39&lt;&gt;""),"",MAX(0,$B$2-D39))</f>
        <v/>
      </c>
    </row>
    <row r="40" customFormat="false" ht="15" hidden="false" customHeight="false" outlineLevel="0" collapsed="false">
      <c r="A40" s="4"/>
      <c r="B40" s="4"/>
      <c r="C40" s="9"/>
      <c r="D40" s="10" t="str">
        <f aca="false">IF(C40="","",C40+$B$3)</f>
        <v/>
      </c>
      <c r="E40" s="12"/>
      <c r="F40" s="9"/>
      <c r="G40" s="18" t="str">
        <f aca="false">IF(A40="","",IF(F40&lt;&gt;"","Paid",IF($B$2&gt;D40,"Overdue","Open")))</f>
        <v/>
      </c>
      <c r="H40" s="19" t="str">
        <f aca="false">IF(OR(A40="",F40&lt;&gt;""),"",MAX(0,$B$2-D40))</f>
        <v/>
      </c>
    </row>
    <row r="41" customFormat="false" ht="15" hidden="false" customHeight="false" outlineLevel="0" collapsed="false">
      <c r="A41" s="4"/>
      <c r="B41" s="4"/>
      <c r="C41" s="9"/>
      <c r="D41" s="10" t="str">
        <f aca="false">IF(C41="","",C41+$B$3)</f>
        <v/>
      </c>
      <c r="E41" s="12"/>
      <c r="F41" s="9"/>
      <c r="G41" s="18" t="str">
        <f aca="false">IF(A41="","",IF(F41&lt;&gt;"","Paid",IF($B$2&gt;D41,"Overdue","Open")))</f>
        <v/>
      </c>
      <c r="H41" s="19" t="str">
        <f aca="false">IF(OR(A41="",F41&lt;&gt;""),"",MAX(0,$B$2-D41))</f>
        <v/>
      </c>
    </row>
    <row r="42" customFormat="false" ht="15" hidden="false" customHeight="false" outlineLevel="0" collapsed="false">
      <c r="A42" s="4"/>
      <c r="B42" s="4"/>
      <c r="C42" s="9"/>
      <c r="D42" s="10" t="str">
        <f aca="false">IF(C42="","",C42+$B$3)</f>
        <v/>
      </c>
      <c r="E42" s="12"/>
      <c r="F42" s="9"/>
      <c r="G42" s="18" t="str">
        <f aca="false">IF(A42="","",IF(F42&lt;&gt;"","Paid",IF($B$2&gt;D42,"Overdue","Open")))</f>
        <v/>
      </c>
      <c r="H42" s="19" t="str">
        <f aca="false">IF(OR(A42="",F42&lt;&gt;""),"",MAX(0,$B$2-D42))</f>
        <v/>
      </c>
    </row>
    <row r="43" customFormat="false" ht="15" hidden="false" customHeight="false" outlineLevel="0" collapsed="false">
      <c r="A43" s="4"/>
      <c r="B43" s="4"/>
      <c r="C43" s="9"/>
      <c r="D43" s="10" t="str">
        <f aca="false">IF(C43="","",C43+$B$3)</f>
        <v/>
      </c>
      <c r="E43" s="12"/>
      <c r="F43" s="9"/>
      <c r="G43" s="18" t="str">
        <f aca="false">IF(A43="","",IF(F43&lt;&gt;"","Paid",IF($B$2&gt;D43,"Overdue","Open")))</f>
        <v/>
      </c>
      <c r="H43" s="19" t="str">
        <f aca="false">IF(OR(A43="",F43&lt;&gt;""),"",MAX(0,$B$2-D43))</f>
        <v/>
      </c>
    </row>
    <row r="44" customFormat="false" ht="15" hidden="false" customHeight="false" outlineLevel="0" collapsed="false">
      <c r="A44" s="4"/>
      <c r="B44" s="4"/>
      <c r="C44" s="9"/>
      <c r="D44" s="10" t="str">
        <f aca="false">IF(C44="","",C44+$B$3)</f>
        <v/>
      </c>
      <c r="E44" s="12"/>
      <c r="F44" s="9"/>
      <c r="G44" s="18" t="str">
        <f aca="false">IF(A44="","",IF(F44&lt;&gt;"","Paid",IF($B$2&gt;D44,"Overdue","Open")))</f>
        <v/>
      </c>
      <c r="H44" s="19" t="str">
        <f aca="false">IF(OR(A44="",F44&lt;&gt;""),"",MAX(0,$B$2-D44))</f>
        <v/>
      </c>
    </row>
    <row r="45" customFormat="false" ht="15" hidden="false" customHeight="false" outlineLevel="0" collapsed="false">
      <c r="A45" s="4"/>
      <c r="B45" s="4"/>
      <c r="C45" s="9"/>
      <c r="D45" s="10" t="str">
        <f aca="false">IF(C45="","",C45+$B$3)</f>
        <v/>
      </c>
      <c r="E45" s="12"/>
      <c r="F45" s="9"/>
      <c r="G45" s="18" t="str">
        <f aca="false">IF(A45="","",IF(F45&lt;&gt;"","Paid",IF($B$2&gt;D45,"Overdue","Open")))</f>
        <v/>
      </c>
      <c r="H45" s="19" t="str">
        <f aca="false">IF(OR(A45="",F45&lt;&gt;""),"",MAX(0,$B$2-D45))</f>
        <v/>
      </c>
    </row>
    <row r="46" customFormat="false" ht="15" hidden="false" customHeight="false" outlineLevel="0" collapsed="false">
      <c r="A46" s="4"/>
      <c r="B46" s="4"/>
      <c r="C46" s="9"/>
      <c r="D46" s="10" t="str">
        <f aca="false">IF(C46="","",C46+$B$3)</f>
        <v/>
      </c>
      <c r="E46" s="12"/>
      <c r="F46" s="9"/>
      <c r="G46" s="18" t="str">
        <f aca="false">IF(A46="","",IF(F46&lt;&gt;"","Paid",IF($B$2&gt;D46,"Overdue","Open")))</f>
        <v/>
      </c>
      <c r="H46" s="19" t="str">
        <f aca="false">IF(OR(A46="",F46&lt;&gt;""),"",MAX(0,$B$2-D46))</f>
        <v/>
      </c>
    </row>
    <row r="47" customFormat="false" ht="15" hidden="false" customHeight="false" outlineLevel="0" collapsed="false">
      <c r="A47" s="4"/>
      <c r="B47" s="4"/>
      <c r="C47" s="9"/>
      <c r="D47" s="10" t="str">
        <f aca="false">IF(C47="","",C47+$B$3)</f>
        <v/>
      </c>
      <c r="E47" s="12"/>
      <c r="F47" s="9"/>
      <c r="G47" s="18" t="str">
        <f aca="false">IF(A47="","",IF(F47&lt;&gt;"","Paid",IF($B$2&gt;D47,"Overdue","Open")))</f>
        <v/>
      </c>
      <c r="H47" s="19" t="str">
        <f aca="false">IF(OR(A47="",F47&lt;&gt;""),"",MAX(0,$B$2-D47))</f>
        <v/>
      </c>
    </row>
    <row r="48" customFormat="false" ht="15" hidden="false" customHeight="false" outlineLevel="0" collapsed="false">
      <c r="A48" s="4"/>
      <c r="B48" s="4"/>
      <c r="C48" s="9"/>
      <c r="D48" s="10" t="str">
        <f aca="false">IF(C48="","",C48+$B$3)</f>
        <v/>
      </c>
      <c r="E48" s="12"/>
      <c r="F48" s="9"/>
      <c r="G48" s="18" t="str">
        <f aca="false">IF(A48="","",IF(F48&lt;&gt;"","Paid",IF($B$2&gt;D48,"Overdue","Open")))</f>
        <v/>
      </c>
      <c r="H48" s="19" t="str">
        <f aca="false">IF(OR(A48="",F48&lt;&gt;""),"",MAX(0,$B$2-D48))</f>
        <v/>
      </c>
    </row>
    <row r="49" customFormat="false" ht="15" hidden="false" customHeight="false" outlineLevel="0" collapsed="false">
      <c r="A49" s="4"/>
      <c r="B49" s="4"/>
      <c r="C49" s="9"/>
      <c r="D49" s="10" t="str">
        <f aca="false">IF(C49="","",C49+$B$3)</f>
        <v/>
      </c>
      <c r="E49" s="12"/>
      <c r="F49" s="9"/>
      <c r="G49" s="18" t="str">
        <f aca="false">IF(A49="","",IF(F49&lt;&gt;"","Paid",IF($B$2&gt;D49,"Overdue","Open")))</f>
        <v/>
      </c>
      <c r="H49" s="19" t="str">
        <f aca="false">IF(OR(A49="",F49&lt;&gt;""),"",MAX(0,$B$2-D49))</f>
        <v/>
      </c>
    </row>
    <row r="50" customFormat="false" ht="15" hidden="false" customHeight="false" outlineLevel="0" collapsed="false">
      <c r="A50" s="4"/>
      <c r="B50" s="4"/>
      <c r="C50" s="9"/>
      <c r="D50" s="10" t="str">
        <f aca="false">IF(C50="","",C50+$B$3)</f>
        <v/>
      </c>
      <c r="E50" s="12"/>
      <c r="F50" s="9"/>
      <c r="G50" s="18" t="str">
        <f aca="false">IF(A50="","",IF(F50&lt;&gt;"","Paid",IF($B$2&gt;D50,"Overdue","Open")))</f>
        <v/>
      </c>
      <c r="H50" s="19" t="str">
        <f aca="false">IF(OR(A50="",F50&lt;&gt;""),"",MAX(0,$B$2-D50))</f>
        <v/>
      </c>
    </row>
    <row r="51" customFormat="false" ht="15" hidden="false" customHeight="false" outlineLevel="0" collapsed="false">
      <c r="A51" s="4"/>
      <c r="B51" s="4"/>
      <c r="C51" s="9"/>
      <c r="D51" s="10" t="str">
        <f aca="false">IF(C51="","",C51+$B$3)</f>
        <v/>
      </c>
      <c r="E51" s="12"/>
      <c r="F51" s="9"/>
      <c r="G51" s="18" t="str">
        <f aca="false">IF(A51="","",IF(F51&lt;&gt;"","Paid",IF($B$2&gt;D51,"Overdue","Open")))</f>
        <v/>
      </c>
      <c r="H51" s="19" t="str">
        <f aca="false">IF(OR(A51="",F51&lt;&gt;""),"",MAX(0,$B$2-D51))</f>
        <v/>
      </c>
    </row>
    <row r="52" customFormat="false" ht="15" hidden="false" customHeight="false" outlineLevel="0" collapsed="false">
      <c r="A52" s="4"/>
      <c r="B52" s="4"/>
      <c r="C52" s="9"/>
      <c r="D52" s="10" t="str">
        <f aca="false">IF(C52="","",C52+$B$3)</f>
        <v/>
      </c>
      <c r="E52" s="12"/>
      <c r="F52" s="9"/>
      <c r="G52" s="18" t="str">
        <f aca="false">IF(A52="","",IF(F52&lt;&gt;"","Paid",IF($B$2&gt;D52,"Overdue","Open")))</f>
        <v/>
      </c>
      <c r="H52" s="19" t="str">
        <f aca="false">IF(OR(A52="",F52&lt;&gt;""),"",MAX(0,$B$2-D52))</f>
        <v/>
      </c>
    </row>
    <row r="53" customFormat="false" ht="15" hidden="false" customHeight="false" outlineLevel="0" collapsed="false">
      <c r="A53" s="4"/>
      <c r="B53" s="4"/>
      <c r="C53" s="9"/>
      <c r="D53" s="10" t="str">
        <f aca="false">IF(C53="","",C53+$B$3)</f>
        <v/>
      </c>
      <c r="E53" s="12"/>
      <c r="F53" s="9"/>
      <c r="G53" s="18" t="str">
        <f aca="false">IF(A53="","",IF(F53&lt;&gt;"","Paid",IF($B$2&gt;D53,"Overdue","Open")))</f>
        <v/>
      </c>
      <c r="H53" s="19" t="str">
        <f aca="false">IF(OR(A53="",F53&lt;&gt;""),"",MAX(0,$B$2-D53))</f>
        <v/>
      </c>
    </row>
    <row r="54" customFormat="false" ht="15" hidden="false" customHeight="false" outlineLevel="0" collapsed="false">
      <c r="A54" s="4"/>
      <c r="B54" s="4"/>
      <c r="C54" s="9"/>
      <c r="D54" s="10" t="str">
        <f aca="false">IF(C54="","",C54+$B$3)</f>
        <v/>
      </c>
      <c r="E54" s="12"/>
      <c r="F54" s="9"/>
      <c r="G54" s="18" t="str">
        <f aca="false">IF(A54="","",IF(F54&lt;&gt;"","Paid",IF($B$2&gt;D54,"Overdue","Open")))</f>
        <v/>
      </c>
      <c r="H54" s="19" t="str">
        <f aca="false">IF(OR(A54="",F54&lt;&gt;""),"",MAX(0,$B$2-D54))</f>
        <v/>
      </c>
    </row>
    <row r="55" customFormat="false" ht="15" hidden="false" customHeight="false" outlineLevel="0" collapsed="false">
      <c r="A55" s="4"/>
      <c r="B55" s="4"/>
      <c r="C55" s="9"/>
      <c r="D55" s="10" t="str">
        <f aca="false">IF(C55="","",C55+$B$3)</f>
        <v/>
      </c>
      <c r="E55" s="12"/>
      <c r="F55" s="9"/>
      <c r="G55" s="18" t="str">
        <f aca="false">IF(A55="","",IF(F55&lt;&gt;"","Paid",IF($B$2&gt;D55,"Overdue","Open")))</f>
        <v/>
      </c>
      <c r="H55" s="19" t="str">
        <f aca="false">IF(OR(A55="",F55&lt;&gt;""),"",MAX(0,$B$2-D55))</f>
        <v/>
      </c>
    </row>
  </sheetData>
  <conditionalFormatting sqref="A6:H55">
    <cfRule type="expression" priority="2" aboveAverage="0" equalAverage="0" bottom="0" percent="0" rank="0" text="" dxfId="0">
      <formula>$G6="Overdue"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7" t="s">
        <v>64</v>
      </c>
    </row>
    <row r="4" customFormat="false" ht="15" hidden="false" customHeight="false" outlineLevel="0" collapsed="false">
      <c r="A4" s="11" t="s">
        <v>65</v>
      </c>
      <c r="B4" s="11" t="s">
        <v>66</v>
      </c>
      <c r="C4" s="11" t="s">
        <v>67</v>
      </c>
      <c r="D4" s="11" t="s">
        <v>68</v>
      </c>
    </row>
    <row r="5" customFormat="false" ht="75" hidden="false" customHeight="true" outlineLevel="0" collapsed="false">
      <c r="A5" s="20" t="s">
        <v>69</v>
      </c>
      <c r="B5" s="20" t="s">
        <v>70</v>
      </c>
      <c r="C5" s="20" t="s">
        <v>71</v>
      </c>
      <c r="D5" s="20" t="s">
        <v>72</v>
      </c>
    </row>
    <row r="6" customFormat="false" ht="75" hidden="false" customHeight="true" outlineLevel="0" collapsed="false">
      <c r="A6" s="20" t="s">
        <v>73</v>
      </c>
      <c r="B6" s="20" t="s">
        <v>74</v>
      </c>
      <c r="C6" s="20" t="s">
        <v>75</v>
      </c>
      <c r="D6" s="20" t="s">
        <v>76</v>
      </c>
    </row>
    <row r="7" customFormat="false" ht="75" hidden="false" customHeight="true" outlineLevel="0" collapsed="false">
      <c r="A7" s="20" t="s">
        <v>77</v>
      </c>
      <c r="B7" s="20" t="s">
        <v>78</v>
      </c>
      <c r="C7" s="20" t="s">
        <v>79</v>
      </c>
      <c r="D7" s="2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2026-10-09T21:20:47Z</dcterms:created>
  <dc:creator>openpyxl</dc:creator>
  <dc:description/>
  <dc:language>en-US</dc:language>
  <cp:lastModifiedBy/>
  <dcterms:modified xsi:type="dcterms:W3CDTF">2026-10-09T21:20:47Z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