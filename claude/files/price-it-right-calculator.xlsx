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comments2.xml" ContentType="application/vnd.openxmlformats-officedocument.spreadsheetml.comments+xml"/>
  <Override PartName="/xl/drawings/vmlDrawing1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How to Use" sheetId="1" state="visible" r:id="rId3"/>
    <sheet name="Calculator" sheetId="2" state="visible" r:id="rId4"/>
    <sheet name="Scenarios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2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B21" authorId="0">
      <text>
        <r>
          <rPr>
            <sz val="10"/>
            <rFont val="Arial"/>
            <family val="2"/>
          </rPr>
          <t xml:space="preserve">Monthly rent, utilities, insurance and equipment, divided by productive hours in the month.</t>
        </r>
      </text>
    </comment>
  </commentList>
</comments>
</file>

<file path=xl/sharedStrings.xml><?xml version="1.0" encoding="utf-8"?>
<sst xmlns="http://schemas.openxmlformats.org/spreadsheetml/2006/main" count="59" uniqueCount="55">
  <si>
    <t xml:space="preserve">Price It Right: Custom Order Calculator</t>
  </si>
  <si>
    <t xml:space="preserve">1. Calculator: list what one order uses, your labor time, your hourly rate and your overhead per labor hour. The sheet gives your true cost, a suggested price for your target margin, and your margin at today's price.</t>
  </si>
  <si>
    <t xml:space="preserve">2. Scenarios: test what happens if an ingredient gets more expensive, a job takes longer, or you change your price.</t>
  </si>
  <si>
    <t xml:space="preserve">Overhead per labor hour = your monthly rent, utilities, insurance and equipment costs, divided by the hours you actually spend producing in a month.</t>
  </si>
  <si>
    <t xml:space="preserve">Tip: in Claude for Excel, ask Claude to explain any number in this sheet; it answers with links to the cells it used.</t>
  </si>
  <si>
    <t xml:space="preserve">Legend</t>
  </si>
  <si>
    <t xml:space="preserve">Yellow cell, blue text: fill in your own value. The values shown are a fictional example.</t>
  </si>
  <si>
    <t xml:space="preserve">Black text: formula. Don't type over it.</t>
  </si>
  <si>
    <t xml:space="preserve">Green text: formula that pulls a value from another sheet.</t>
  </si>
  <si>
    <t xml:space="preserve">From the book 30 Claude Workflows for Small Business Owners (Monarch Lane Press). All businesses and figures in the examples are fictional.</t>
  </si>
  <si>
    <t xml:space="preserve">Example: Maple &amp; Rye Bakery, one 8-inch two-layer custom cake. Replace the yellow cells with your own numbers.</t>
  </si>
  <si>
    <t xml:space="preserve">Material</t>
  </si>
  <si>
    <t xml:space="preserve">Quantity used</t>
  </si>
  <si>
    <t xml:space="preserve">Unit</t>
  </si>
  <si>
    <t xml:space="preserve">Cost per unit</t>
  </si>
  <si>
    <t xml:space="preserve">Cost</t>
  </si>
  <si>
    <t xml:space="preserve">Flour</t>
  </si>
  <si>
    <t xml:space="preserve">lb</t>
  </si>
  <si>
    <t xml:space="preserve">Sugar</t>
  </si>
  <si>
    <t xml:space="preserve">Butter</t>
  </si>
  <si>
    <t xml:space="preserve">Eggs</t>
  </si>
  <si>
    <t xml:space="preserve">each</t>
  </si>
  <si>
    <t xml:space="preserve">Heavy cream</t>
  </si>
  <si>
    <t xml:space="preserve">pint</t>
  </si>
  <si>
    <t xml:space="preserve">Fondant and decorations</t>
  </si>
  <si>
    <t xml:space="preserve">lot</t>
  </si>
  <si>
    <t xml:space="preserve">Cake box and board</t>
  </si>
  <si>
    <t xml:space="preserve">Materials total</t>
  </si>
  <si>
    <t xml:space="preserve">Labor minutes per order</t>
  </si>
  <si>
    <t xml:space="preserve">Hourly labor rate</t>
  </si>
  <si>
    <t xml:space="preserve">Labor cost</t>
  </si>
  <si>
    <t xml:space="preserve">Overhead per labor hour</t>
  </si>
  <si>
    <t xml:space="preserve">Overhead cost</t>
  </si>
  <si>
    <t xml:space="preserve">Total cost per order</t>
  </si>
  <si>
    <t xml:space="preserve">Target margin</t>
  </si>
  <si>
    <t xml:space="preserve">Suggested price</t>
  </si>
  <si>
    <t xml:space="preserve">Suggested price, rounded up to $5</t>
  </si>
  <si>
    <t xml:space="preserve">Break-even price (zero profit)</t>
  </si>
  <si>
    <t xml:space="preserve">Your current price</t>
  </si>
  <si>
    <t xml:space="preserve">Profit per order at current price</t>
  </si>
  <si>
    <t xml:space="preserve">Margin at current price</t>
  </si>
  <si>
    <t xml:space="preserve">Scenarios</t>
  </si>
  <si>
    <t xml:space="preserve">Change the yellow cells to test a cost increase, a longer job or a new price. Rates come from the Calculator sheet.</t>
  </si>
  <si>
    <t xml:space="preserve">Today</t>
  </si>
  <si>
    <t xml:space="preserve">Butter up 20%</t>
  </si>
  <si>
    <t xml:space="preserve">New price</t>
  </si>
  <si>
    <t xml:space="preserve">Butter cost change</t>
  </si>
  <si>
    <t xml:space="preserve">Labor minutes</t>
  </si>
  <si>
    <t xml:space="preserve">Price</t>
  </si>
  <si>
    <t xml:space="preserve">Materials</t>
  </si>
  <si>
    <t xml:space="preserve">Labor</t>
  </si>
  <si>
    <t xml:space="preserve">Overhead</t>
  </si>
  <si>
    <t xml:space="preserve">Total cost</t>
  </si>
  <si>
    <t xml:space="preserve">Profit per order</t>
  </si>
  <si>
    <t xml:space="preserve">Margin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</si>
</sst>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\$#,##0.00;&quot;($&quot;#,##0.00\);\-"/>
    <numFmt numFmtId="166" formatCode="0"/>
    <numFmt numFmtId="167" formatCode="0.0%;\(0.0%\);\-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000000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sz val="10"/>
      <color rgb="FF0000FF"/>
      <name val="Arial"/>
      <family val="0"/>
      <charset val="1"/>
    </font>
    <font>
      <sz val="10"/>
      <color rgb="FF008000"/>
      <name val="Arial"/>
      <family val="0"/>
      <charset val="1"/>
    </font>
    <font>
      <i val="true"/>
      <sz val="9"/>
      <color rgb="FF00000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1F3864"/>
        <bgColor rgb="FF333333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7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0"/>
  </cols>
  <sheetData>
    <row r="1" customFormat="false" ht="17.35" hidden="false" customHeight="false" outlineLevel="0" collapsed="false">
      <c r="A1" s="1" t="s">
        <v>0</v>
      </c>
    </row>
    <row r="3" customFormat="false" ht="23.85" hidden="false" customHeight="false" outlineLevel="0" collapsed="false">
      <c r="A3" s="2" t="s">
        <v>1</v>
      </c>
    </row>
    <row r="4" customFormat="false" ht="15" hidden="false" customHeight="false" outlineLevel="0" collapsed="false">
      <c r="A4" s="2" t="s">
        <v>2</v>
      </c>
    </row>
    <row r="5" customFormat="false" ht="23.85" hidden="false" customHeight="false" outlineLevel="0" collapsed="false">
      <c r="A5" s="2" t="s">
        <v>3</v>
      </c>
    </row>
    <row r="6" customFormat="false" ht="15" hidden="false" customHeight="false" outlineLevel="0" collapsed="false">
      <c r="A6" s="2" t="s">
        <v>4</v>
      </c>
    </row>
    <row r="8" customFormat="false" ht="15" hidden="false" customHeight="false" outlineLevel="0" collapsed="false">
      <c r="A8" s="3" t="s">
        <v>5</v>
      </c>
    </row>
    <row r="9" customFormat="false" ht="15" hidden="false" customHeight="false" outlineLevel="0" collapsed="false">
      <c r="A9" s="4" t="s">
        <v>6</v>
      </c>
    </row>
    <row r="10" customFormat="false" ht="15" hidden="false" customHeight="false" outlineLevel="0" collapsed="false">
      <c r="A10" s="5" t="s">
        <v>7</v>
      </c>
    </row>
    <row r="11" customFormat="false" ht="15" hidden="false" customHeight="false" outlineLevel="0" collapsed="false">
      <c r="A11" s="6" t="s">
        <v>8</v>
      </c>
    </row>
    <row r="13" customFormat="false" ht="15" hidden="false" customHeight="false" outlineLevel="0" collapsed="false">
      <c r="A13" s="7" t="s">
        <v>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16"/>
    <col collapsed="false" customWidth="true" hidden="false" outlineLevel="0" max="3" min="3" style="0" width="10"/>
    <col collapsed="false" customWidth="true" hidden="false" outlineLevel="0" max="5" min="4" style="0" width="14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7" t="s">
        <v>10</v>
      </c>
    </row>
    <row r="4" customFormat="false" ht="15" hidden="false" customHeight="false" outlineLevel="0" collapsed="false">
      <c r="A4" s="8" t="s">
        <v>11</v>
      </c>
      <c r="B4" s="8" t="s">
        <v>12</v>
      </c>
      <c r="C4" s="8" t="s">
        <v>13</v>
      </c>
      <c r="D4" s="8" t="s">
        <v>14</v>
      </c>
      <c r="E4" s="8" t="s">
        <v>15</v>
      </c>
    </row>
    <row r="5" customFormat="false" ht="15" hidden="false" customHeight="false" outlineLevel="0" collapsed="false">
      <c r="A5" s="4" t="s">
        <v>16</v>
      </c>
      <c r="B5" s="4" t="n">
        <v>1.5</v>
      </c>
      <c r="C5" s="4" t="s">
        <v>17</v>
      </c>
      <c r="D5" s="9" t="n">
        <v>0.6</v>
      </c>
      <c r="E5" s="10" t="n">
        <f aca="false">IF(OR(B5="",D5=""),0,B5*D5)</f>
        <v>0.9</v>
      </c>
    </row>
    <row r="6" customFormat="false" ht="15" hidden="false" customHeight="false" outlineLevel="0" collapsed="false">
      <c r="A6" s="4" t="s">
        <v>18</v>
      </c>
      <c r="B6" s="4" t="n">
        <v>1.2</v>
      </c>
      <c r="C6" s="4" t="s">
        <v>17</v>
      </c>
      <c r="D6" s="9" t="n">
        <v>0.8</v>
      </c>
      <c r="E6" s="10" t="n">
        <f aca="false">IF(OR(B6="",D6=""),0,B6*D6)</f>
        <v>0.96</v>
      </c>
    </row>
    <row r="7" customFormat="false" ht="15" hidden="false" customHeight="false" outlineLevel="0" collapsed="false">
      <c r="A7" s="4" t="s">
        <v>19</v>
      </c>
      <c r="B7" s="4" t="n">
        <v>1</v>
      </c>
      <c r="C7" s="4" t="s">
        <v>17</v>
      </c>
      <c r="D7" s="9" t="n">
        <v>4.5</v>
      </c>
      <c r="E7" s="10" t="n">
        <f aca="false">IF(OR(B7="",D7=""),0,B7*D7)</f>
        <v>4.5</v>
      </c>
    </row>
    <row r="8" customFormat="false" ht="15" hidden="false" customHeight="false" outlineLevel="0" collapsed="false">
      <c r="A8" s="4" t="s">
        <v>20</v>
      </c>
      <c r="B8" s="4" t="n">
        <v>8</v>
      </c>
      <c r="C8" s="4" t="s">
        <v>21</v>
      </c>
      <c r="D8" s="9" t="n">
        <v>0.35</v>
      </c>
      <c r="E8" s="10" t="n">
        <f aca="false">IF(OR(B8="",D8=""),0,B8*D8)</f>
        <v>2.8</v>
      </c>
    </row>
    <row r="9" customFormat="false" ht="15" hidden="false" customHeight="false" outlineLevel="0" collapsed="false">
      <c r="A9" s="4" t="s">
        <v>22</v>
      </c>
      <c r="B9" s="4" t="n">
        <v>1</v>
      </c>
      <c r="C9" s="4" t="s">
        <v>23</v>
      </c>
      <c r="D9" s="9" t="n">
        <v>3.2</v>
      </c>
      <c r="E9" s="10" t="n">
        <f aca="false">IF(OR(B9="",D9=""),0,B9*D9)</f>
        <v>3.2</v>
      </c>
    </row>
    <row r="10" customFormat="false" ht="15" hidden="false" customHeight="false" outlineLevel="0" collapsed="false">
      <c r="A10" s="4" t="s">
        <v>24</v>
      </c>
      <c r="B10" s="4" t="n">
        <v>1</v>
      </c>
      <c r="C10" s="4" t="s">
        <v>25</v>
      </c>
      <c r="D10" s="9" t="n">
        <v>6</v>
      </c>
      <c r="E10" s="10" t="n">
        <f aca="false">IF(OR(B10="",D10=""),0,B10*D10)</f>
        <v>6</v>
      </c>
    </row>
    <row r="11" customFormat="false" ht="15" hidden="false" customHeight="false" outlineLevel="0" collapsed="false">
      <c r="A11" s="4" t="s">
        <v>26</v>
      </c>
      <c r="B11" s="4" t="n">
        <v>1</v>
      </c>
      <c r="C11" s="4" t="s">
        <v>21</v>
      </c>
      <c r="D11" s="9" t="n">
        <v>3.5</v>
      </c>
      <c r="E11" s="10" t="n">
        <f aca="false">IF(OR(B11="",D11=""),0,B11*D11)</f>
        <v>3.5</v>
      </c>
    </row>
    <row r="12" customFormat="false" ht="15" hidden="false" customHeight="false" outlineLevel="0" collapsed="false">
      <c r="A12" s="4"/>
      <c r="B12" s="4"/>
      <c r="C12" s="4"/>
      <c r="D12" s="9"/>
      <c r="E12" s="10" t="n">
        <f aca="false">IF(OR(B12="",D12=""),0,B12*D12)</f>
        <v>0</v>
      </c>
    </row>
    <row r="13" customFormat="false" ht="15" hidden="false" customHeight="false" outlineLevel="0" collapsed="false">
      <c r="A13" s="4"/>
      <c r="B13" s="4"/>
      <c r="C13" s="4"/>
      <c r="D13" s="9"/>
      <c r="E13" s="10" t="n">
        <f aca="false">IF(OR(B13="",D13=""),0,B13*D13)</f>
        <v>0</v>
      </c>
    </row>
    <row r="14" customFormat="false" ht="15" hidden="false" customHeight="false" outlineLevel="0" collapsed="false">
      <c r="A14" s="4"/>
      <c r="B14" s="4"/>
      <c r="C14" s="4"/>
      <c r="D14" s="9"/>
      <c r="E14" s="10" t="n">
        <f aca="false">IF(OR(B14="",D14=""),0,B14*D14)</f>
        <v>0</v>
      </c>
    </row>
    <row r="15" customFormat="false" ht="15" hidden="false" customHeight="false" outlineLevel="0" collapsed="false">
      <c r="D15" s="3" t="s">
        <v>27</v>
      </c>
      <c r="E15" s="11" t="n">
        <f aca="false">SUM(E5:E14)</f>
        <v>21.86</v>
      </c>
    </row>
    <row r="17" customFormat="false" ht="15" hidden="false" customHeight="false" outlineLevel="0" collapsed="false">
      <c r="A17" s="5" t="s">
        <v>28</v>
      </c>
      <c r="B17" s="12" t="n">
        <v>150</v>
      </c>
    </row>
    <row r="18" customFormat="false" ht="15" hidden="false" customHeight="false" outlineLevel="0" collapsed="false">
      <c r="A18" s="5" t="s">
        <v>29</v>
      </c>
      <c r="B18" s="9" t="n">
        <v>22</v>
      </c>
    </row>
    <row r="19" customFormat="false" ht="15" hidden="false" customHeight="false" outlineLevel="0" collapsed="false">
      <c r="A19" s="5" t="s">
        <v>30</v>
      </c>
      <c r="B19" s="10" t="n">
        <f aca="false">B17/60*B18</f>
        <v>55</v>
      </c>
    </row>
    <row r="21" customFormat="false" ht="15" hidden="false" customHeight="false" outlineLevel="0" collapsed="false">
      <c r="A21" s="5" t="s">
        <v>31</v>
      </c>
      <c r="B21" s="9" t="n">
        <v>9</v>
      </c>
    </row>
    <row r="22" customFormat="false" ht="15" hidden="false" customHeight="false" outlineLevel="0" collapsed="false">
      <c r="A22" s="5" t="s">
        <v>32</v>
      </c>
      <c r="B22" s="10" t="n">
        <f aca="false">B17/60*B21</f>
        <v>22.5</v>
      </c>
    </row>
    <row r="24" customFormat="false" ht="15" hidden="false" customHeight="false" outlineLevel="0" collapsed="false">
      <c r="A24" s="3" t="s">
        <v>33</v>
      </c>
      <c r="B24" s="11" t="n">
        <f aca="false">E15+B19+B22</f>
        <v>99.36</v>
      </c>
    </row>
    <row r="25" customFormat="false" ht="15" hidden="false" customHeight="false" outlineLevel="0" collapsed="false">
      <c r="A25" s="5" t="s">
        <v>34</v>
      </c>
      <c r="B25" s="13" t="n">
        <v>0.35</v>
      </c>
    </row>
    <row r="26" customFormat="false" ht="15" hidden="false" customHeight="false" outlineLevel="0" collapsed="false">
      <c r="A26" s="5" t="s">
        <v>35</v>
      </c>
      <c r="B26" s="10" t="n">
        <f aca="false">IF(B25&gt;=1,0,B24/(1-B25))</f>
        <v>152.861538461538</v>
      </c>
    </row>
    <row r="27" customFormat="false" ht="15" hidden="false" customHeight="false" outlineLevel="0" collapsed="false">
      <c r="A27" s="3" t="s">
        <v>36</v>
      </c>
      <c r="B27" s="11" t="n">
        <f aca="false">CEILING(B26,5)</f>
        <v>155</v>
      </c>
    </row>
    <row r="28" customFormat="false" ht="15" hidden="false" customHeight="false" outlineLevel="0" collapsed="false">
      <c r="A28" s="5" t="s">
        <v>37</v>
      </c>
      <c r="B28" s="10" t="n">
        <f aca="false">B24</f>
        <v>99.36</v>
      </c>
    </row>
    <row r="30" customFormat="false" ht="15" hidden="false" customHeight="false" outlineLevel="0" collapsed="false">
      <c r="A30" s="5" t="s">
        <v>38</v>
      </c>
      <c r="B30" s="9" t="n">
        <v>110</v>
      </c>
    </row>
    <row r="31" customFormat="false" ht="15" hidden="false" customHeight="false" outlineLevel="0" collapsed="false">
      <c r="A31" s="5" t="s">
        <v>39</v>
      </c>
      <c r="B31" s="10" t="n">
        <f aca="false">B30-B24</f>
        <v>10.64</v>
      </c>
    </row>
    <row r="32" customFormat="false" ht="15" hidden="false" customHeight="false" outlineLevel="0" collapsed="false">
      <c r="A32" s="3" t="s">
        <v>40</v>
      </c>
      <c r="B32" s="14" t="n">
        <f aca="false">IF(B30=0,0,(B30-B24)/B30)</f>
        <v>0.0967272727272727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2"/>
    <col collapsed="false" customWidth="true" hidden="false" outlineLevel="0" max="4" min="2" style="0" width="16"/>
  </cols>
  <sheetData>
    <row r="1" customFormat="false" ht="17.35" hidden="false" customHeight="false" outlineLevel="0" collapsed="false">
      <c r="A1" s="1" t="s">
        <v>41</v>
      </c>
    </row>
    <row r="2" customFormat="false" ht="15" hidden="false" customHeight="false" outlineLevel="0" collapsed="false">
      <c r="A2" s="7" t="s">
        <v>42</v>
      </c>
    </row>
    <row r="4" customFormat="false" ht="15" hidden="false" customHeight="false" outlineLevel="0" collapsed="false">
      <c r="A4" s="8"/>
      <c r="B4" s="8" t="s">
        <v>43</v>
      </c>
      <c r="C4" s="8" t="s">
        <v>44</v>
      </c>
      <c r="D4" s="8" t="s">
        <v>45</v>
      </c>
    </row>
    <row r="5" customFormat="false" ht="15" hidden="false" customHeight="false" outlineLevel="0" collapsed="false">
      <c r="A5" s="5" t="s">
        <v>46</v>
      </c>
      <c r="B5" s="13" t="n">
        <v>0</v>
      </c>
      <c r="C5" s="13" t="n">
        <v>0.2</v>
      </c>
      <c r="D5" s="13" t="n">
        <v>0</v>
      </c>
    </row>
    <row r="6" customFormat="false" ht="15" hidden="false" customHeight="false" outlineLevel="0" collapsed="false">
      <c r="A6" s="5" t="s">
        <v>47</v>
      </c>
      <c r="B6" s="12" t="n">
        <v>150</v>
      </c>
      <c r="C6" s="12" t="n">
        <v>150</v>
      </c>
      <c r="D6" s="12" t="n">
        <v>150</v>
      </c>
    </row>
    <row r="7" customFormat="false" ht="15" hidden="false" customHeight="false" outlineLevel="0" collapsed="false">
      <c r="A7" s="5" t="s">
        <v>48</v>
      </c>
      <c r="B7" s="9" t="n">
        <v>110</v>
      </c>
      <c r="C7" s="9" t="n">
        <v>110</v>
      </c>
      <c r="D7" s="9" t="n">
        <v>135</v>
      </c>
    </row>
    <row r="8" customFormat="false" ht="15" hidden="false" customHeight="false" outlineLevel="0" collapsed="false">
      <c r="A8" s="5" t="s">
        <v>49</v>
      </c>
      <c r="B8" s="15" t="n">
        <f aca="false">Calculator!$E$15+Calculator!$E$7*B5</f>
        <v>21.86</v>
      </c>
      <c r="C8" s="15" t="n">
        <f aca="false">Calculator!$E$15+Calculator!$E$7*C5</f>
        <v>22.76</v>
      </c>
      <c r="D8" s="15" t="n">
        <f aca="false">Calculator!$E$15+Calculator!$E$7*D5</f>
        <v>21.86</v>
      </c>
    </row>
    <row r="9" customFormat="false" ht="15" hidden="false" customHeight="false" outlineLevel="0" collapsed="false">
      <c r="A9" s="5" t="s">
        <v>50</v>
      </c>
      <c r="B9" s="15" t="n">
        <f aca="false">B6/60*Calculator!$B$18</f>
        <v>55</v>
      </c>
      <c r="C9" s="15" t="n">
        <f aca="false">C6/60*Calculator!$B$18</f>
        <v>55</v>
      </c>
      <c r="D9" s="15" t="n">
        <f aca="false">D6/60*Calculator!$B$18</f>
        <v>55</v>
      </c>
    </row>
    <row r="10" customFormat="false" ht="15" hidden="false" customHeight="false" outlineLevel="0" collapsed="false">
      <c r="A10" s="5" t="s">
        <v>51</v>
      </c>
      <c r="B10" s="15" t="n">
        <f aca="false">B6/60*Calculator!$B$21</f>
        <v>22.5</v>
      </c>
      <c r="C10" s="15" t="n">
        <f aca="false">C6/60*Calculator!$B$21</f>
        <v>22.5</v>
      </c>
      <c r="D10" s="15" t="n">
        <f aca="false">D6/60*Calculator!$B$21</f>
        <v>22.5</v>
      </c>
    </row>
    <row r="11" customFormat="false" ht="15" hidden="false" customHeight="false" outlineLevel="0" collapsed="false">
      <c r="A11" s="3" t="s">
        <v>52</v>
      </c>
      <c r="B11" s="11" t="n">
        <f aca="false">SUM(B8:B10)</f>
        <v>99.36</v>
      </c>
      <c r="C11" s="11" t="n">
        <f aca="false">SUM(C8:C10)</f>
        <v>100.26</v>
      </c>
      <c r="D11" s="11" t="n">
        <f aca="false">SUM(D8:D10)</f>
        <v>99.36</v>
      </c>
    </row>
    <row r="12" customFormat="false" ht="15" hidden="false" customHeight="false" outlineLevel="0" collapsed="false">
      <c r="A12" s="5" t="s">
        <v>53</v>
      </c>
      <c r="B12" s="10" t="n">
        <f aca="false">B7-B11</f>
        <v>10.64</v>
      </c>
      <c r="C12" s="10" t="n">
        <f aca="false">C7-C11</f>
        <v>9.74000000000001</v>
      </c>
      <c r="D12" s="10" t="n">
        <f aca="false">D7-D11</f>
        <v>35.64</v>
      </c>
    </row>
    <row r="13" customFormat="false" ht="15" hidden="false" customHeight="false" outlineLevel="0" collapsed="false">
      <c r="A13" s="3" t="s">
        <v>54</v>
      </c>
      <c r="B13" s="14" t="n">
        <f aca="false">IF(B7=0,0,B12/B7)</f>
        <v>0.0967272727272727</v>
      </c>
      <c r="C13" s="14" t="n">
        <f aca="false">IF(C7=0,0,C12/C7)</f>
        <v>0.0885454545454546</v>
      </c>
      <c r="D13" s="14" t="n">
        <f aca="false">IF(D7=0,0,D12/D7)</f>
        <v>0.264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2026-10-09T21:20:47Z</dcterms:created>
  <dc:creator>openpyxl</dc:creator>
  <dc:description/>
  <dc:language>en-US</dc:language>
  <cp:lastModifiedBy/>
  <dcterms:modified xsi:type="dcterms:W3CDTF">2026-10-09T21:20:47Z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