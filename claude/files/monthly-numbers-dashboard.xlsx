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ashboard" sheetId="2" state="visible" r:id="rId4"/>
    <sheet name="Transa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<sst xmlns="http://schemas.openxmlformats.org/spreadsheetml/2006/main" count="251" uniqueCount="67">
  <si>
    <t xml:space="preserve">Monthly Numbers Dashboard</t>
  </si>
  <si>
    <t xml:space="preserve">1. Transactions: add one row per sale or expense, with a date, the type (Sale or Expense), a category from the Dashboard list and the amount.</t>
  </si>
  <si>
    <t xml:space="preserve">2. Dashboard: type the first day of the month you want in the yellow cell. Everything else updates: revenue, gross margin, cash in and out, the change from last month, and your top 5 expenses.</t>
  </si>
  <si>
    <t xml:space="preserve">3. Observations: each month, write three sentences about what the numbers say, or ask Claude for Excel to draft them and check every figure it cites.</t>
  </si>
  <si>
    <t xml:space="preserve">Cost of goods = the categories Materials and Jars &amp; packaging. Change the list in the Dashboard if your direct costs are different.</t>
  </si>
  <si>
    <t xml:space="preserve">Owner's pay, transfers between your own accounts and cash floats are not expenses: leave them out of Transactions.</t>
  </si>
  <si>
    <t xml:space="preserve">Legend</t>
  </si>
  <si>
    <t xml:space="preserve">Yellow cell, blue text: fill in your own value. The values shown are a fictional example.</t>
  </si>
  <si>
    <t xml:space="preserve">Black text: formula. Don't type over it.</t>
  </si>
  <si>
    <t xml:space="preserve">Green text: formula that pulls a value from another sheet.</t>
  </si>
  <si>
    <t xml:space="preserve">From the book 30 Claude Workflows for Small Business Owners (Monarch Lane Press). All businesses and figures in the examples are fictional.</t>
  </si>
  <si>
    <t xml:space="preserve">Month (first day)</t>
  </si>
  <si>
    <t xml:space="preserve">Previous month</t>
  </si>
  <si>
    <t xml:space="preserve">Next month starts</t>
  </si>
  <si>
    <t xml:space="preserve">Key numbers</t>
  </si>
  <si>
    <t xml:space="preserve">This month</t>
  </si>
  <si>
    <t xml:space="preserve">Last month</t>
  </si>
  <si>
    <t xml:space="preserve">Change</t>
  </si>
  <si>
    <t xml:space="preserve">Revenue (cash in from sales)</t>
  </si>
  <si>
    <t xml:space="preserve">Cost of goods</t>
  </si>
  <si>
    <t xml:space="preserve">Gross profit</t>
  </si>
  <si>
    <t xml:space="preserve">Gross margin</t>
  </si>
  <si>
    <t xml:space="preserve">Total expenses (cash out)</t>
  </si>
  <si>
    <t xml:space="preserve">Net cash for the month</t>
  </si>
  <si>
    <t xml:space="preserve">Gross margin change is shown in percentage points.</t>
  </si>
  <si>
    <t xml:space="preserve">Expenses by category</t>
  </si>
  <si>
    <t xml:space="preserve">Materials</t>
  </si>
  <si>
    <t xml:space="preserve">Jars &amp; packaging</t>
  </si>
  <si>
    <t xml:space="preserve">Postage</t>
  </si>
  <si>
    <t xml:space="preserve">Marketplace &amp; payment fees</t>
  </si>
  <si>
    <t xml:space="preserve">Software</t>
  </si>
  <si>
    <t xml:space="preserve">Market booth fees</t>
  </si>
  <si>
    <t xml:space="preserve">Marketing</t>
  </si>
  <si>
    <t xml:space="preserve">Other</t>
  </si>
  <si>
    <t xml:space="preserve">Top 5 expenses this month</t>
  </si>
  <si>
    <t xml:space="preserve">Amount</t>
  </si>
  <si>
    <t xml:space="preserve">Rank</t>
  </si>
  <si>
    <t xml:space="preserve">If two categories have exactly the same amount, the first one is listed twice.</t>
  </si>
  <si>
    <t xml:space="preserve">Observations (write three each month)</t>
  </si>
  <si>
    <t xml:space="preserve">Revenue fell about 6% to $6,499 (C9). All of the drop came from the website; Etsy held steady and the market grew.</t>
  </si>
  <si>
    <t xml:space="preserve">Gross margin rose from 71.0% to 74.0% (C12), mostly because August included a large wax order.</t>
  </si>
  <si>
    <t xml:space="preserve">Postage, at $842, now costs more than materials, at $796 (C20, C18). Check that the shipping customers pay still covers it.</t>
  </si>
  <si>
    <t xml:space="preserve">Date</t>
  </si>
  <si>
    <t xml:space="preserve">Type</t>
  </si>
  <si>
    <t xml:space="preserve">Category</t>
  </si>
  <si>
    <t xml:space="preserve">Description</t>
  </si>
  <si>
    <t xml:space="preserve">Expense</t>
  </si>
  <si>
    <t xml:space="preserve">Etsy fees</t>
  </si>
  <si>
    <t xml:space="preserve">Design app</t>
  </si>
  <si>
    <t xml:space="preserve">Website plan</t>
  </si>
  <si>
    <t xml:space="preserve">Sale</t>
  </si>
  <si>
    <t xml:space="preserve">Sales: website</t>
  </si>
  <si>
    <t xml:space="preserve">Website payout</t>
  </si>
  <si>
    <t xml:space="preserve">Sales: Etsy</t>
  </si>
  <si>
    <t xml:space="preserve">Etsy deposit</t>
  </si>
  <si>
    <t xml:space="preserve">Wax and fragrance oil</t>
  </si>
  <si>
    <t xml:space="preserve">Postage labels</t>
  </si>
  <si>
    <t xml:space="preserve">Jars</t>
  </si>
  <si>
    <t xml:space="preserve">Newsletter tool</t>
  </si>
  <si>
    <t xml:space="preserve">Booth fee</t>
  </si>
  <si>
    <t xml:space="preserve">Photo storage (cancelled)</t>
  </si>
  <si>
    <t xml:space="preserve">Sales: markets</t>
  </si>
  <si>
    <t xml:space="preserve">Saturday market</t>
  </si>
  <si>
    <t xml:space="preserve">Social ads</t>
  </si>
  <si>
    <t xml:space="preserve">Label paper</t>
  </si>
  <si>
    <t xml:space="preserve">Market helper</t>
  </si>
  <si>
    <t xml:space="preserve">Labels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</si>
</sst>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m\ yyyy"/>
    <numFmt numFmtId="166" formatCode="mmm\ d&quot;, &quot;yyyy"/>
    <numFmt numFmtId="167" formatCode="\$#,##0;&quot;($&quot;#,##0\);\-"/>
    <numFmt numFmtId="168" formatCode="\+0.0%;\-0.0%;\-"/>
    <numFmt numFmtId="169" formatCode="0.0%;\(0.0%\);\-"/>
    <numFmt numFmtId="170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Dashboard!C17</c:f>
              <c:strCache>
                <c:ptCount val="1"/>
                <c:pt idx="0">
                  <c:v>This month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Dashboard!$B$18:$B$25</c:f>
              <c:strCache>
                <c:ptCount val="8"/>
                <c:pt idx="0">
                  <c:v>Materials</c:v>
                </c:pt>
                <c:pt idx="1">
                  <c:v>Jars &amp; packaging</c:v>
                </c:pt>
                <c:pt idx="2">
                  <c:v>Postage</c:v>
                </c:pt>
                <c:pt idx="3">
                  <c:v>Marketplace &amp; payment fees</c:v>
                </c:pt>
                <c:pt idx="4">
                  <c:v>Software</c:v>
                </c:pt>
                <c:pt idx="5">
                  <c:v>Market booth fees</c:v>
                </c:pt>
                <c:pt idx="6">
                  <c:v>Marketing</c:v>
                </c:pt>
                <c:pt idx="7">
                  <c:v>Other</c:v>
                </c:pt>
              </c:strCache>
            </c:strRef>
          </c:cat>
          <c:val>
            <c:numRef>
              <c:f>Dashboard!$C$18:$C$25</c:f>
              <c:numCache>
                <c:formatCode>\$#,##0;"($"#,##0\);\-</c:formatCode>
                <c:ptCount val="8"/>
                <c:pt idx="0">
                  <c:v>796.31</c:v>
                </c:pt>
                <c:pt idx="1">
                  <c:v>893.15</c:v>
                </c:pt>
                <c:pt idx="2">
                  <c:v>841.85</c:v>
                </c:pt>
                <c:pt idx="3">
                  <c:v>171.01</c:v>
                </c:pt>
                <c:pt idx="4">
                  <c:v>92.98</c:v>
                </c:pt>
                <c:pt idx="5">
                  <c:v>60</c:v>
                </c:pt>
                <c:pt idx="6">
                  <c:v>375.03</c:v>
                </c:pt>
                <c:pt idx="7">
                  <c:v>75</c:v>
                </c:pt>
              </c:numCache>
            </c:numRef>
          </c:val>
        </c:ser>
        <c:ser>
          <c:idx val="1"/>
          <c:order val="1"/>
          <c:tx>
            <c:strRef>
              <c:f>Dashboard!D17</c:f>
              <c:strCache>
                <c:ptCount val="1"/>
                <c:pt idx="0">
                  <c:v>Last month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Dashboard!$B$18:$B$25</c:f>
              <c:strCache>
                <c:ptCount val="8"/>
                <c:pt idx="0">
                  <c:v>Materials</c:v>
                </c:pt>
                <c:pt idx="1">
                  <c:v>Jars &amp; packaging</c:v>
                </c:pt>
                <c:pt idx="2">
                  <c:v>Postage</c:v>
                </c:pt>
                <c:pt idx="3">
                  <c:v>Marketplace &amp; payment fees</c:v>
                </c:pt>
                <c:pt idx="4">
                  <c:v>Software</c:v>
                </c:pt>
                <c:pt idx="5">
                  <c:v>Market booth fees</c:v>
                </c:pt>
                <c:pt idx="6">
                  <c:v>Marketing</c:v>
                </c:pt>
                <c:pt idx="7">
                  <c:v>Other</c:v>
                </c:pt>
              </c:strCache>
            </c:strRef>
          </c:cat>
          <c:val>
            <c:numRef>
              <c:f>Dashboard!$D$18:$D$25</c:f>
              <c:numCache>
                <c:formatCode>\$#,##0;"($"#,##0\);\-</c:formatCode>
                <c:ptCount val="8"/>
                <c:pt idx="0">
                  <c:v>1137.87</c:v>
                </c:pt>
                <c:pt idx="1">
                  <c:v>867.21</c:v>
                </c:pt>
                <c:pt idx="2">
                  <c:v>836.23</c:v>
                </c:pt>
                <c:pt idx="3">
                  <c:v>175.56</c:v>
                </c:pt>
                <c:pt idx="4">
                  <c:v>92.98</c:v>
                </c:pt>
                <c:pt idx="5">
                  <c:v>60</c:v>
                </c:pt>
                <c:pt idx="6">
                  <c:v>274.48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91894526"/>
        <c:axId val="47508255"/>
      </c:barChart>
      <c:catAx>
        <c:axId val="918945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08255"/>
        <c:crosses val="autoZero"/>
        <c:auto val="1"/>
        <c:lblAlgn val="ctr"/>
        <c:lblOffset val="100"/>
        <c:noMultiLvlLbl val="0"/>
      </c:catAx>
      <c:valAx>
        <c:axId val="475082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945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160560</xdr:rowOff>
    </xdr:from>
    <xdr:to>
      <xdr:col>15</xdr:col>
      <xdr:colOff>255960</xdr:colOff>
      <xdr:row>23</xdr:row>
      <xdr:rowOff>161640</xdr:rowOff>
    </xdr:to>
    <xdr:graphicFrame>
      <xdr:nvGraphicFramePr>
        <xdr:cNvPr id="0" name="Chart 1"/>
        <xdr:cNvGraphicFramePr/>
      </xdr:nvGraphicFramePr>
      <xdr:xfrm>
        <a:off x="6250320" y="1333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6" t="s">
        <v>9</v>
      </c>
    </row>
    <row r="14" customFormat="false" ht="15" hidden="false" customHeight="false" outlineLevel="0" collapsed="false">
      <c r="A14" s="7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2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3" t="s">
        <v>11</v>
      </c>
      <c r="C4" s="8" t="n">
        <v>46266</v>
      </c>
    </row>
    <row r="5" customFormat="false" ht="15" hidden="false" customHeight="false" outlineLevel="0" collapsed="false">
      <c r="B5" s="5" t="s">
        <v>12</v>
      </c>
      <c r="C5" s="9" t="n">
        <f aca="false">EDATE(C4,-1)</f>
        <v>46235</v>
      </c>
    </row>
    <row r="6" customFormat="false" ht="15" hidden="false" customHeight="false" outlineLevel="0" collapsed="false">
      <c r="B6" s="5" t="s">
        <v>13</v>
      </c>
      <c r="C6" s="10" t="n">
        <f aca="false">EDATE(C4,1)</f>
        <v>46296</v>
      </c>
    </row>
    <row r="8" customFormat="false" ht="15" hidden="false" customHeight="false" outlineLevel="0" collapsed="false">
      <c r="B8" s="11" t="s">
        <v>14</v>
      </c>
      <c r="C8" s="11" t="s">
        <v>15</v>
      </c>
      <c r="D8" s="11" t="s">
        <v>16</v>
      </c>
      <c r="E8" s="11" t="s">
        <v>17</v>
      </c>
    </row>
    <row r="9" customFormat="false" ht="15" hidden="false" customHeight="false" outlineLevel="0" collapsed="false">
      <c r="B9" s="12" t="s">
        <v>18</v>
      </c>
      <c r="C9" s="13" t="n">
        <f aca="false">SUMIFS(Transactions!$E$2:$E$500,Transactions!$B$2:$B$500,"Sale",Transactions!$A$2:$A$500,"&gt;="&amp;$C$4,Transactions!$A$2:$A$500,"&lt;"&amp;$C$6)</f>
        <v>6499.33</v>
      </c>
      <c r="D9" s="14" t="n">
        <f aca="false">SUMIFS(Transactions!$E$2:$E$500,Transactions!$B$2:$B$500,"Sale",Transactions!$A$2:$A$500,"&gt;="&amp;$C$5,Transactions!$A$2:$A$500,"&lt;"&amp;$C$4)</f>
        <v>6921.52</v>
      </c>
      <c r="E9" s="15" t="n">
        <f aca="false">IF(D9=0,"",(C9-D9)/ABS(D9))</f>
        <v>-0.0609967174840209</v>
      </c>
    </row>
    <row r="10" customFormat="false" ht="15" hidden="false" customHeight="false" outlineLevel="0" collapsed="false">
      <c r="B10" s="16" t="s">
        <v>19</v>
      </c>
      <c r="C10" s="14" t="n">
        <f aca="false">SUMIFS(Transactions!$E$2:$E$500,Transactions!$B$2:$B$500,"Expense",Transactions!$A$2:$A$500,"&gt;="&amp;$C$4,Transactions!$A$2:$A$500,"&lt;"&amp;$C$6,Transactions!$C$2:$C$500,"Materials")+SUMIFS(Transactions!$E$2:$E$500,Transactions!$B$2:$B$500,"Expense",Transactions!$A$2:$A$500,"&gt;="&amp;$C$4,Transactions!$A$2:$A$500,"&lt;"&amp;$C$6,Transactions!$C$2:$C$500,"Jars &amp; packaging")</f>
        <v>1689.46</v>
      </c>
      <c r="D10" s="14" t="n">
        <f aca="false">SUMIFS(Transactions!$E$2:$E$500,Transactions!$B$2:$B$500,"Expense",Transactions!$A$2:$A$500,"&gt;="&amp;$C$5,Transactions!$A$2:$A$500,"&lt;"&amp;$C$4,Transactions!$C$2:$C$500,"Materials")+SUMIFS(Transactions!$E$2:$E$500,Transactions!$B$2:$B$500,"Expense",Transactions!$A$2:$A$500,"&gt;="&amp;$C$5,Transactions!$A$2:$A$500,"&lt;"&amp;$C$4,Transactions!$C$2:$C$500,"Jars &amp; packaging")</f>
        <v>2005.08</v>
      </c>
      <c r="E10" s="15" t="n">
        <f aca="false">IF(D10=0,"",(C10-D10)/ABS(D10))</f>
        <v>-0.157410178147505</v>
      </c>
    </row>
    <row r="11" customFormat="false" ht="15" hidden="false" customHeight="false" outlineLevel="0" collapsed="false">
      <c r="B11" s="16" t="s">
        <v>20</v>
      </c>
      <c r="C11" s="17" t="n">
        <f aca="false">C9-C10</f>
        <v>4809.87</v>
      </c>
      <c r="D11" s="17" t="n">
        <f aca="false">D9-D10</f>
        <v>4916.44</v>
      </c>
      <c r="E11" s="15" t="n">
        <f aca="false">IF(D11=0,"",(C11-D11)/ABS(D11))</f>
        <v>-0.0216762535493163</v>
      </c>
    </row>
    <row r="12" customFormat="false" ht="15" hidden="false" customHeight="false" outlineLevel="0" collapsed="false">
      <c r="B12" s="16" t="s">
        <v>21</v>
      </c>
      <c r="C12" s="18" t="n">
        <f aca="false">IF(C9=0,0,C11/C9)</f>
        <v>0.740056282724527</v>
      </c>
      <c r="D12" s="18" t="n">
        <f aca="false">IF(D9=0,0,D11/D9)</f>
        <v>0.710312185762665</v>
      </c>
      <c r="E12" s="15" t="n">
        <f aca="false">C12-D12</f>
        <v>0.0297440969618621</v>
      </c>
    </row>
    <row r="13" customFormat="false" ht="15" hidden="false" customHeight="false" outlineLevel="0" collapsed="false">
      <c r="B13" s="16" t="s">
        <v>22</v>
      </c>
      <c r="C13" s="14" t="n">
        <f aca="false">SUMIFS(Transactions!$E$2:$E$500,Transactions!$B$2:$B$500,"Expense",Transactions!$A$2:$A$500,"&gt;="&amp;$C$4,Transactions!$A$2:$A$500,"&lt;"&amp;$C$6)</f>
        <v>3305.33</v>
      </c>
      <c r="D13" s="14" t="n">
        <f aca="false">SUMIFS(Transactions!$E$2:$E$500,Transactions!$B$2:$B$500,"Expense",Transactions!$A$2:$A$500,"&gt;="&amp;$C$5,Transactions!$A$2:$A$500,"&lt;"&amp;$C$4)</f>
        <v>3444.33</v>
      </c>
      <c r="E13" s="15" t="n">
        <f aca="false">IF(D13=0,"",(C13-D13)/ABS(D13))</f>
        <v>-0.0403561795762892</v>
      </c>
    </row>
    <row r="14" customFormat="false" ht="15" hidden="false" customHeight="false" outlineLevel="0" collapsed="false">
      <c r="B14" s="12" t="s">
        <v>23</v>
      </c>
      <c r="C14" s="19" t="n">
        <f aca="false">C9-C13</f>
        <v>3194</v>
      </c>
      <c r="D14" s="17" t="n">
        <f aca="false">D9-D13</f>
        <v>3477.19</v>
      </c>
      <c r="E14" s="15" t="n">
        <f aca="false">IF(D14=0,"",(C14-D14)/ABS(D14))</f>
        <v>-0.0814421990170225</v>
      </c>
    </row>
    <row r="15" customFormat="false" ht="15" hidden="false" customHeight="false" outlineLevel="0" collapsed="false">
      <c r="B15" s="7" t="s">
        <v>24</v>
      </c>
    </row>
    <row r="17" customFormat="false" ht="15" hidden="false" customHeight="false" outlineLevel="0" collapsed="false">
      <c r="B17" s="11" t="s">
        <v>25</v>
      </c>
      <c r="C17" s="11" t="s">
        <v>15</v>
      </c>
      <c r="D17" s="11" t="s">
        <v>16</v>
      </c>
    </row>
    <row r="18" customFormat="false" ht="15" hidden="false" customHeight="false" outlineLevel="0" collapsed="false">
      <c r="B18" s="4" t="s">
        <v>26</v>
      </c>
      <c r="C18" s="14" t="n">
        <f aca="false">SUMIFS(Transactions!$E$2:$E$500,Transactions!$B$2:$B$500,"Expense",Transactions!$A$2:$A$500,"&gt;="&amp;$C$4,Transactions!$A$2:$A$500,"&lt;"&amp;$C$6,Transactions!$C$2:$C$500,$B18)</f>
        <v>796.31</v>
      </c>
      <c r="D18" s="14" t="n">
        <f aca="false">SUMIFS(Transactions!$E$2:$E$500,Transactions!$B$2:$B$500,"Expense",Transactions!$A$2:$A$500,"&gt;="&amp;$C$5,Transactions!$A$2:$A$500,"&lt;"&amp;$C$4,Transactions!$C$2:$C$500,$B18)</f>
        <v>1137.87</v>
      </c>
    </row>
    <row r="19" customFormat="false" ht="15" hidden="false" customHeight="false" outlineLevel="0" collapsed="false">
      <c r="B19" s="4" t="s">
        <v>27</v>
      </c>
      <c r="C19" s="14" t="n">
        <f aca="false">SUMIFS(Transactions!$E$2:$E$500,Transactions!$B$2:$B$500,"Expense",Transactions!$A$2:$A$500,"&gt;="&amp;$C$4,Transactions!$A$2:$A$500,"&lt;"&amp;$C$6,Transactions!$C$2:$C$500,$B19)</f>
        <v>893.15</v>
      </c>
      <c r="D19" s="14" t="n">
        <f aca="false">SUMIFS(Transactions!$E$2:$E$500,Transactions!$B$2:$B$500,"Expense",Transactions!$A$2:$A$500,"&gt;="&amp;$C$5,Transactions!$A$2:$A$500,"&lt;"&amp;$C$4,Transactions!$C$2:$C$500,$B19)</f>
        <v>867.21</v>
      </c>
    </row>
    <row r="20" customFormat="false" ht="15" hidden="false" customHeight="false" outlineLevel="0" collapsed="false">
      <c r="B20" s="4" t="s">
        <v>28</v>
      </c>
      <c r="C20" s="14" t="n">
        <f aca="false">SUMIFS(Transactions!$E$2:$E$500,Transactions!$B$2:$B$500,"Expense",Transactions!$A$2:$A$500,"&gt;="&amp;$C$4,Transactions!$A$2:$A$500,"&lt;"&amp;$C$6,Transactions!$C$2:$C$500,$B20)</f>
        <v>841.85</v>
      </c>
      <c r="D20" s="14" t="n">
        <f aca="false">SUMIFS(Transactions!$E$2:$E$500,Transactions!$B$2:$B$500,"Expense",Transactions!$A$2:$A$500,"&gt;="&amp;$C$5,Transactions!$A$2:$A$500,"&lt;"&amp;$C$4,Transactions!$C$2:$C$500,$B20)</f>
        <v>836.23</v>
      </c>
    </row>
    <row r="21" customFormat="false" ht="15" hidden="false" customHeight="false" outlineLevel="0" collapsed="false">
      <c r="B21" s="4" t="s">
        <v>29</v>
      </c>
      <c r="C21" s="14" t="n">
        <f aca="false">SUMIFS(Transactions!$E$2:$E$500,Transactions!$B$2:$B$500,"Expense",Transactions!$A$2:$A$500,"&gt;="&amp;$C$4,Transactions!$A$2:$A$500,"&lt;"&amp;$C$6,Transactions!$C$2:$C$500,$B21)</f>
        <v>171.01</v>
      </c>
      <c r="D21" s="14" t="n">
        <f aca="false">SUMIFS(Transactions!$E$2:$E$500,Transactions!$B$2:$B$500,"Expense",Transactions!$A$2:$A$500,"&gt;="&amp;$C$5,Transactions!$A$2:$A$500,"&lt;"&amp;$C$4,Transactions!$C$2:$C$500,$B21)</f>
        <v>175.56</v>
      </c>
    </row>
    <row r="22" customFormat="false" ht="15" hidden="false" customHeight="false" outlineLevel="0" collapsed="false">
      <c r="B22" s="4" t="s">
        <v>30</v>
      </c>
      <c r="C22" s="14" t="n">
        <f aca="false">SUMIFS(Transactions!$E$2:$E$500,Transactions!$B$2:$B$500,"Expense",Transactions!$A$2:$A$500,"&gt;="&amp;$C$4,Transactions!$A$2:$A$500,"&lt;"&amp;$C$6,Transactions!$C$2:$C$500,$B22)</f>
        <v>92.98</v>
      </c>
      <c r="D22" s="14" t="n">
        <f aca="false">SUMIFS(Transactions!$E$2:$E$500,Transactions!$B$2:$B$500,"Expense",Transactions!$A$2:$A$500,"&gt;="&amp;$C$5,Transactions!$A$2:$A$500,"&lt;"&amp;$C$4,Transactions!$C$2:$C$500,$B22)</f>
        <v>92.98</v>
      </c>
    </row>
    <row r="23" customFormat="false" ht="15" hidden="false" customHeight="false" outlineLevel="0" collapsed="false">
      <c r="B23" s="4" t="s">
        <v>31</v>
      </c>
      <c r="C23" s="14" t="n">
        <f aca="false">SUMIFS(Transactions!$E$2:$E$500,Transactions!$B$2:$B$500,"Expense",Transactions!$A$2:$A$500,"&gt;="&amp;$C$4,Transactions!$A$2:$A$500,"&lt;"&amp;$C$6,Transactions!$C$2:$C$500,$B23)</f>
        <v>60</v>
      </c>
      <c r="D23" s="14" t="n">
        <f aca="false">SUMIFS(Transactions!$E$2:$E$500,Transactions!$B$2:$B$500,"Expense",Transactions!$A$2:$A$500,"&gt;="&amp;$C$5,Transactions!$A$2:$A$500,"&lt;"&amp;$C$4,Transactions!$C$2:$C$500,$B23)</f>
        <v>60</v>
      </c>
    </row>
    <row r="24" customFormat="false" ht="15" hidden="false" customHeight="false" outlineLevel="0" collapsed="false">
      <c r="B24" s="4" t="s">
        <v>32</v>
      </c>
      <c r="C24" s="14" t="n">
        <f aca="false">SUMIFS(Transactions!$E$2:$E$500,Transactions!$B$2:$B$500,"Expense",Transactions!$A$2:$A$500,"&gt;="&amp;$C$4,Transactions!$A$2:$A$500,"&lt;"&amp;$C$6,Transactions!$C$2:$C$500,$B24)</f>
        <v>375.03</v>
      </c>
      <c r="D24" s="14" t="n">
        <f aca="false">SUMIFS(Transactions!$E$2:$E$500,Transactions!$B$2:$B$500,"Expense",Transactions!$A$2:$A$500,"&gt;="&amp;$C$5,Transactions!$A$2:$A$500,"&lt;"&amp;$C$4,Transactions!$C$2:$C$500,$B24)</f>
        <v>274.48</v>
      </c>
    </row>
    <row r="25" customFormat="false" ht="15" hidden="false" customHeight="false" outlineLevel="0" collapsed="false">
      <c r="B25" s="4" t="s">
        <v>33</v>
      </c>
      <c r="C25" s="14" t="n">
        <f aca="false">SUMIFS(Transactions!$E$2:$E$500,Transactions!$B$2:$B$500,"Expense",Transactions!$A$2:$A$500,"&gt;="&amp;$C$4,Transactions!$A$2:$A$500,"&lt;"&amp;$C$6,Transactions!$C$2:$C$500,$B25)</f>
        <v>75</v>
      </c>
      <c r="D25" s="14" t="n">
        <f aca="false">SUMIFS(Transactions!$E$2:$E$500,Transactions!$B$2:$B$500,"Expense",Transactions!$A$2:$A$500,"&gt;="&amp;$C$5,Transactions!$A$2:$A$500,"&lt;"&amp;$C$4,Transactions!$C$2:$C$500,$B25)</f>
        <v>0</v>
      </c>
    </row>
    <row r="28" customFormat="false" ht="15" hidden="false" customHeight="false" outlineLevel="0" collapsed="false">
      <c r="B28" s="11" t="s">
        <v>34</v>
      </c>
      <c r="C28" s="11" t="s">
        <v>35</v>
      </c>
      <c r="D28" s="11" t="s">
        <v>36</v>
      </c>
    </row>
    <row r="29" customFormat="false" ht="15" hidden="false" customHeight="false" outlineLevel="0" collapsed="false">
      <c r="B29" s="16" t="str">
        <f aca="false">INDEX($B$18:$B$25,MATCH(C29,$C$18:$C$25,0))</f>
        <v>Jars &amp; packaging</v>
      </c>
      <c r="C29" s="17" t="n">
        <f aca="false">LARGE($C$18:$C$25,D29)</f>
        <v>893.15</v>
      </c>
      <c r="D29" s="16" t="n">
        <v>1</v>
      </c>
    </row>
    <row r="30" customFormat="false" ht="15" hidden="false" customHeight="false" outlineLevel="0" collapsed="false">
      <c r="B30" s="16" t="str">
        <f aca="false">INDEX($B$18:$B$25,MATCH(C30,$C$18:$C$25,0))</f>
        <v>Postage</v>
      </c>
      <c r="C30" s="17" t="n">
        <f aca="false">LARGE($C$18:$C$25,D30)</f>
        <v>841.85</v>
      </c>
      <c r="D30" s="16" t="n">
        <v>2</v>
      </c>
    </row>
    <row r="31" customFormat="false" ht="15" hidden="false" customHeight="false" outlineLevel="0" collapsed="false">
      <c r="B31" s="16" t="str">
        <f aca="false">INDEX($B$18:$B$25,MATCH(C31,$C$18:$C$25,0))</f>
        <v>Materials</v>
      </c>
      <c r="C31" s="17" t="n">
        <f aca="false">LARGE($C$18:$C$25,D31)</f>
        <v>796.31</v>
      </c>
      <c r="D31" s="16" t="n">
        <v>3</v>
      </c>
    </row>
    <row r="32" customFormat="false" ht="15" hidden="false" customHeight="false" outlineLevel="0" collapsed="false">
      <c r="B32" s="16" t="str">
        <f aca="false">INDEX($B$18:$B$25,MATCH(C32,$C$18:$C$25,0))</f>
        <v>Marketing</v>
      </c>
      <c r="C32" s="17" t="n">
        <f aca="false">LARGE($C$18:$C$25,D32)</f>
        <v>375.03</v>
      </c>
      <c r="D32" s="16" t="n">
        <v>4</v>
      </c>
    </row>
    <row r="33" customFormat="false" ht="15" hidden="false" customHeight="false" outlineLevel="0" collapsed="false">
      <c r="B33" s="16" t="str">
        <f aca="false">INDEX($B$18:$B$25,MATCH(C33,$C$18:$C$25,0))</f>
        <v>Marketplace &amp; payment fees</v>
      </c>
      <c r="C33" s="17" t="n">
        <f aca="false">LARGE($C$18:$C$25,D33)</f>
        <v>171.01</v>
      </c>
      <c r="D33" s="16" t="n">
        <v>5</v>
      </c>
    </row>
    <row r="34" customFormat="false" ht="15" hidden="false" customHeight="false" outlineLevel="0" collapsed="false">
      <c r="B34" s="7" t="s">
        <v>37</v>
      </c>
    </row>
    <row r="36" customFormat="false" ht="15" hidden="false" customHeight="false" outlineLevel="0" collapsed="false">
      <c r="B36" s="3" t="s">
        <v>38</v>
      </c>
    </row>
    <row r="37" customFormat="false" ht="30" hidden="false" customHeight="true" outlineLevel="0" collapsed="false">
      <c r="B37" s="20" t="s">
        <v>39</v>
      </c>
      <c r="C37" s="20"/>
      <c r="D37" s="20"/>
      <c r="E37" s="20"/>
    </row>
    <row r="38" customFormat="false" ht="30" hidden="false" customHeight="true" outlineLevel="0" collapsed="false">
      <c r="B38" s="20" t="s">
        <v>40</v>
      </c>
      <c r="C38" s="20"/>
      <c r="D38" s="20"/>
      <c r="E38" s="20"/>
    </row>
    <row r="39" customFormat="false" ht="30" hidden="false" customHeight="true" outlineLevel="0" collapsed="false">
      <c r="B39" s="20" t="s">
        <v>41</v>
      </c>
      <c r="C39" s="20"/>
      <c r="D39" s="20"/>
      <c r="E39" s="20"/>
    </row>
  </sheetData>
  <mergeCells count="3">
    <mergeCell ref="B37:E37"/>
    <mergeCell ref="B38:E38"/>
    <mergeCell ref="B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1" t="s">
        <v>42</v>
      </c>
      <c r="B1" s="11" t="s">
        <v>43</v>
      </c>
      <c r="C1" s="11" t="s">
        <v>44</v>
      </c>
      <c r="D1" s="11" t="s">
        <v>45</v>
      </c>
      <c r="E1" s="11" t="s">
        <v>35</v>
      </c>
    </row>
    <row r="2" customFormat="false" ht="15" hidden="false" customHeight="false" outlineLevel="0" collapsed="false">
      <c r="A2" s="21" t="n">
        <v>46204</v>
      </c>
      <c r="B2" s="4" t="s">
        <v>46</v>
      </c>
      <c r="C2" s="4" t="s">
        <v>29</v>
      </c>
      <c r="D2" s="4" t="s">
        <v>47</v>
      </c>
      <c r="E2" s="22" t="n">
        <v>154.95</v>
      </c>
    </row>
    <row r="3" customFormat="false" ht="15" hidden="false" customHeight="false" outlineLevel="0" collapsed="false">
      <c r="A3" s="21" t="n">
        <v>46206</v>
      </c>
      <c r="B3" s="4" t="s">
        <v>46</v>
      </c>
      <c r="C3" s="4" t="s">
        <v>30</v>
      </c>
      <c r="D3" s="4" t="s">
        <v>48</v>
      </c>
      <c r="E3" s="22" t="n">
        <v>14.99</v>
      </c>
    </row>
    <row r="4" customFormat="false" ht="15" hidden="false" customHeight="false" outlineLevel="0" collapsed="false">
      <c r="A4" s="21" t="n">
        <v>46206</v>
      </c>
      <c r="B4" s="4" t="s">
        <v>46</v>
      </c>
      <c r="C4" s="4" t="s">
        <v>30</v>
      </c>
      <c r="D4" s="4" t="s">
        <v>49</v>
      </c>
      <c r="E4" s="22" t="n">
        <v>39</v>
      </c>
    </row>
    <row r="5" customFormat="false" ht="15" hidden="false" customHeight="false" outlineLevel="0" collapsed="false">
      <c r="A5" s="21" t="n">
        <v>46207</v>
      </c>
      <c r="B5" s="4" t="s">
        <v>50</v>
      </c>
      <c r="C5" s="4" t="s">
        <v>51</v>
      </c>
      <c r="D5" s="4" t="s">
        <v>52</v>
      </c>
      <c r="E5" s="22" t="n">
        <v>967.43</v>
      </c>
    </row>
    <row r="6" customFormat="false" ht="15" hidden="false" customHeight="false" outlineLevel="0" collapsed="false">
      <c r="A6" s="21" t="n">
        <v>46208</v>
      </c>
      <c r="B6" s="4" t="s">
        <v>50</v>
      </c>
      <c r="C6" s="4" t="s">
        <v>53</v>
      </c>
      <c r="D6" s="4" t="s">
        <v>54</v>
      </c>
      <c r="E6" s="22" t="n">
        <v>565.74</v>
      </c>
    </row>
    <row r="7" customFormat="false" ht="15" hidden="false" customHeight="false" outlineLevel="0" collapsed="false">
      <c r="A7" s="21" t="n">
        <v>46209</v>
      </c>
      <c r="B7" s="4" t="s">
        <v>46</v>
      </c>
      <c r="C7" s="4" t="s">
        <v>26</v>
      </c>
      <c r="D7" s="4" t="s">
        <v>55</v>
      </c>
      <c r="E7" s="22" t="n">
        <v>410.36</v>
      </c>
    </row>
    <row r="8" customFormat="false" ht="15" hidden="false" customHeight="false" outlineLevel="0" collapsed="false">
      <c r="A8" s="21" t="n">
        <v>46210</v>
      </c>
      <c r="B8" s="4" t="s">
        <v>46</v>
      </c>
      <c r="C8" s="4" t="s">
        <v>28</v>
      </c>
      <c r="D8" s="4" t="s">
        <v>56</v>
      </c>
      <c r="E8" s="22" t="n">
        <v>422.45</v>
      </c>
    </row>
    <row r="9" customFormat="false" ht="15" hidden="false" customHeight="false" outlineLevel="0" collapsed="false">
      <c r="A9" s="21" t="n">
        <v>46212</v>
      </c>
      <c r="B9" s="4" t="s">
        <v>46</v>
      </c>
      <c r="C9" s="4" t="s">
        <v>27</v>
      </c>
      <c r="D9" s="4" t="s">
        <v>57</v>
      </c>
      <c r="E9" s="22" t="n">
        <v>622.68</v>
      </c>
    </row>
    <row r="10" customFormat="false" ht="15" hidden="false" customHeight="false" outlineLevel="0" collapsed="false">
      <c r="A10" s="21" t="n">
        <v>46213</v>
      </c>
      <c r="B10" s="4" t="s">
        <v>46</v>
      </c>
      <c r="C10" s="4" t="s">
        <v>30</v>
      </c>
      <c r="D10" s="4" t="s">
        <v>58</v>
      </c>
      <c r="E10" s="22" t="n">
        <v>29</v>
      </c>
    </row>
    <row r="11" customFormat="false" ht="15" hidden="false" customHeight="false" outlineLevel="0" collapsed="false">
      <c r="A11" s="21" t="n">
        <v>46214</v>
      </c>
      <c r="B11" s="4" t="s">
        <v>50</v>
      </c>
      <c r="C11" s="4" t="s">
        <v>51</v>
      </c>
      <c r="D11" s="4" t="s">
        <v>52</v>
      </c>
      <c r="E11" s="22" t="n">
        <v>920.73</v>
      </c>
    </row>
    <row r="12" customFormat="false" ht="15" hidden="false" customHeight="false" outlineLevel="0" collapsed="false">
      <c r="A12" s="21" t="n">
        <v>46215</v>
      </c>
      <c r="B12" s="4" t="s">
        <v>50</v>
      </c>
      <c r="C12" s="4" t="s">
        <v>53</v>
      </c>
      <c r="D12" s="4" t="s">
        <v>54</v>
      </c>
      <c r="E12" s="22" t="n">
        <v>538.51</v>
      </c>
    </row>
    <row r="13" customFormat="false" ht="15" hidden="false" customHeight="false" outlineLevel="0" collapsed="false">
      <c r="A13" s="21" t="n">
        <v>46216</v>
      </c>
      <c r="B13" s="4" t="s">
        <v>46</v>
      </c>
      <c r="C13" s="4" t="s">
        <v>31</v>
      </c>
      <c r="D13" s="4" t="s">
        <v>59</v>
      </c>
      <c r="E13" s="22" t="n">
        <v>60</v>
      </c>
    </row>
    <row r="14" customFormat="false" ht="15" hidden="false" customHeight="false" outlineLevel="0" collapsed="false">
      <c r="A14" s="21" t="n">
        <v>46217</v>
      </c>
      <c r="B14" s="4" t="s">
        <v>46</v>
      </c>
      <c r="C14" s="4" t="s">
        <v>30</v>
      </c>
      <c r="D14" s="4" t="s">
        <v>60</v>
      </c>
      <c r="E14" s="22" t="n">
        <v>9.99</v>
      </c>
    </row>
    <row r="15" customFormat="false" ht="15" hidden="false" customHeight="false" outlineLevel="0" collapsed="false">
      <c r="A15" s="21" t="n">
        <v>46218</v>
      </c>
      <c r="B15" s="4" t="s">
        <v>50</v>
      </c>
      <c r="C15" s="4" t="s">
        <v>61</v>
      </c>
      <c r="D15" s="4" t="s">
        <v>62</v>
      </c>
      <c r="E15" s="22" t="n">
        <v>426.75</v>
      </c>
    </row>
    <row r="16" customFormat="false" ht="15" hidden="false" customHeight="false" outlineLevel="0" collapsed="false">
      <c r="A16" s="21" t="n">
        <v>46221</v>
      </c>
      <c r="B16" s="4" t="s">
        <v>50</v>
      </c>
      <c r="C16" s="4" t="s">
        <v>51</v>
      </c>
      <c r="D16" s="4" t="s">
        <v>52</v>
      </c>
      <c r="E16" s="22" t="n">
        <v>1055.75</v>
      </c>
    </row>
    <row r="17" customFormat="false" ht="15" hidden="false" customHeight="false" outlineLevel="0" collapsed="false">
      <c r="A17" s="21" t="n">
        <v>46222</v>
      </c>
      <c r="B17" s="4" t="s">
        <v>50</v>
      </c>
      <c r="C17" s="4" t="s">
        <v>53</v>
      </c>
      <c r="D17" s="4" t="s">
        <v>54</v>
      </c>
      <c r="E17" s="22" t="n">
        <v>489.28</v>
      </c>
    </row>
    <row r="18" customFormat="false" ht="15" hidden="false" customHeight="false" outlineLevel="0" collapsed="false">
      <c r="A18" s="21" t="n">
        <v>46223</v>
      </c>
      <c r="B18" s="4" t="s">
        <v>46</v>
      </c>
      <c r="C18" s="4" t="s">
        <v>26</v>
      </c>
      <c r="D18" s="4" t="s">
        <v>55</v>
      </c>
      <c r="E18" s="22" t="n">
        <v>308.38</v>
      </c>
    </row>
    <row r="19" customFormat="false" ht="15" hidden="false" customHeight="false" outlineLevel="0" collapsed="false">
      <c r="A19" s="21" t="n">
        <v>46224</v>
      </c>
      <c r="B19" s="4" t="s">
        <v>46</v>
      </c>
      <c r="C19" s="4" t="s">
        <v>28</v>
      </c>
      <c r="D19" s="4" t="s">
        <v>56</v>
      </c>
      <c r="E19" s="22" t="n">
        <v>462.69</v>
      </c>
    </row>
    <row r="20" customFormat="false" ht="15" hidden="false" customHeight="false" outlineLevel="0" collapsed="false">
      <c r="A20" s="21" t="n">
        <v>46225</v>
      </c>
      <c r="B20" s="4" t="s">
        <v>46</v>
      </c>
      <c r="C20" s="4" t="s">
        <v>32</v>
      </c>
      <c r="D20" s="4" t="s">
        <v>63</v>
      </c>
      <c r="E20" s="22" t="n">
        <v>244.65</v>
      </c>
    </row>
    <row r="21" customFormat="false" ht="15" hidden="false" customHeight="false" outlineLevel="0" collapsed="false">
      <c r="A21" s="21" t="n">
        <v>46228</v>
      </c>
      <c r="B21" s="4" t="s">
        <v>50</v>
      </c>
      <c r="C21" s="4" t="s">
        <v>51</v>
      </c>
      <c r="D21" s="4" t="s">
        <v>52</v>
      </c>
      <c r="E21" s="22" t="n">
        <v>899.56</v>
      </c>
    </row>
    <row r="22" customFormat="false" ht="15" hidden="false" customHeight="false" outlineLevel="0" collapsed="false">
      <c r="A22" s="21" t="n">
        <v>46229</v>
      </c>
      <c r="B22" s="4" t="s">
        <v>50</v>
      </c>
      <c r="C22" s="4" t="s">
        <v>53</v>
      </c>
      <c r="D22" s="4" t="s">
        <v>54</v>
      </c>
      <c r="E22" s="22" t="n">
        <v>561.19</v>
      </c>
    </row>
    <row r="23" customFormat="false" ht="15" hidden="false" customHeight="false" outlineLevel="0" collapsed="false">
      <c r="A23" s="21" t="n">
        <v>46235</v>
      </c>
      <c r="B23" s="4" t="s">
        <v>46</v>
      </c>
      <c r="C23" s="4" t="s">
        <v>29</v>
      </c>
      <c r="D23" s="4" t="s">
        <v>47</v>
      </c>
      <c r="E23" s="22" t="n">
        <v>175.56</v>
      </c>
    </row>
    <row r="24" customFormat="false" ht="15" hidden="false" customHeight="false" outlineLevel="0" collapsed="false">
      <c r="A24" s="21" t="n">
        <v>46237</v>
      </c>
      <c r="B24" s="4" t="s">
        <v>46</v>
      </c>
      <c r="C24" s="4" t="s">
        <v>30</v>
      </c>
      <c r="D24" s="4" t="s">
        <v>48</v>
      </c>
      <c r="E24" s="22" t="n">
        <v>14.99</v>
      </c>
    </row>
    <row r="25" customFormat="false" ht="15" hidden="false" customHeight="false" outlineLevel="0" collapsed="false">
      <c r="A25" s="21" t="n">
        <v>46237</v>
      </c>
      <c r="B25" s="4" t="s">
        <v>46</v>
      </c>
      <c r="C25" s="4" t="s">
        <v>30</v>
      </c>
      <c r="D25" s="4" t="s">
        <v>49</v>
      </c>
      <c r="E25" s="22" t="n">
        <v>39</v>
      </c>
    </row>
    <row r="26" customFormat="false" ht="15" hidden="false" customHeight="false" outlineLevel="0" collapsed="false">
      <c r="A26" s="21" t="n">
        <v>46238</v>
      </c>
      <c r="B26" s="4" t="s">
        <v>50</v>
      </c>
      <c r="C26" s="4" t="s">
        <v>51</v>
      </c>
      <c r="D26" s="4" t="s">
        <v>52</v>
      </c>
      <c r="E26" s="22" t="n">
        <v>1049.41</v>
      </c>
    </row>
    <row r="27" customFormat="false" ht="15" hidden="false" customHeight="false" outlineLevel="0" collapsed="false">
      <c r="A27" s="21" t="n">
        <v>46239</v>
      </c>
      <c r="B27" s="4" t="s">
        <v>50</v>
      </c>
      <c r="C27" s="4" t="s">
        <v>53</v>
      </c>
      <c r="D27" s="4" t="s">
        <v>54</v>
      </c>
      <c r="E27" s="22" t="n">
        <v>636.2</v>
      </c>
    </row>
    <row r="28" customFormat="false" ht="15" hidden="false" customHeight="false" outlineLevel="0" collapsed="false">
      <c r="A28" s="21" t="n">
        <v>46240</v>
      </c>
      <c r="B28" s="4" t="s">
        <v>46</v>
      </c>
      <c r="C28" s="4" t="s">
        <v>26</v>
      </c>
      <c r="D28" s="4" t="s">
        <v>55</v>
      </c>
      <c r="E28" s="22" t="n">
        <v>388.25</v>
      </c>
    </row>
    <row r="29" customFormat="false" ht="15" hidden="false" customHeight="false" outlineLevel="0" collapsed="false">
      <c r="A29" s="21" t="n">
        <v>46241</v>
      </c>
      <c r="B29" s="4" t="s">
        <v>46</v>
      </c>
      <c r="C29" s="4" t="s">
        <v>28</v>
      </c>
      <c r="D29" s="4" t="s">
        <v>56</v>
      </c>
      <c r="E29" s="22" t="n">
        <v>398.07</v>
      </c>
    </row>
    <row r="30" customFormat="false" ht="15" hidden="false" customHeight="false" outlineLevel="0" collapsed="false">
      <c r="A30" s="21" t="n">
        <v>46243</v>
      </c>
      <c r="B30" s="4" t="s">
        <v>46</v>
      </c>
      <c r="C30" s="4" t="s">
        <v>27</v>
      </c>
      <c r="D30" s="4" t="s">
        <v>57</v>
      </c>
      <c r="E30" s="22" t="n">
        <v>804.03</v>
      </c>
    </row>
    <row r="31" customFormat="false" ht="15" hidden="false" customHeight="false" outlineLevel="0" collapsed="false">
      <c r="A31" s="21" t="n">
        <v>46244</v>
      </c>
      <c r="B31" s="4" t="s">
        <v>46</v>
      </c>
      <c r="C31" s="4" t="s">
        <v>30</v>
      </c>
      <c r="D31" s="4" t="s">
        <v>58</v>
      </c>
      <c r="E31" s="22" t="n">
        <v>29</v>
      </c>
    </row>
    <row r="32" customFormat="false" ht="15" hidden="false" customHeight="false" outlineLevel="0" collapsed="false">
      <c r="A32" s="21" t="n">
        <v>46245</v>
      </c>
      <c r="B32" s="4" t="s">
        <v>50</v>
      </c>
      <c r="C32" s="4" t="s">
        <v>51</v>
      </c>
      <c r="D32" s="4" t="s">
        <v>52</v>
      </c>
      <c r="E32" s="22" t="n">
        <v>1135.88</v>
      </c>
    </row>
    <row r="33" customFormat="false" ht="15" hidden="false" customHeight="false" outlineLevel="0" collapsed="false">
      <c r="A33" s="21" t="n">
        <v>46246</v>
      </c>
      <c r="B33" s="4" t="s">
        <v>50</v>
      </c>
      <c r="C33" s="4" t="s">
        <v>53</v>
      </c>
      <c r="D33" s="4" t="s">
        <v>54</v>
      </c>
      <c r="E33" s="22" t="n">
        <v>487.45</v>
      </c>
    </row>
    <row r="34" customFormat="false" ht="15" hidden="false" customHeight="false" outlineLevel="0" collapsed="false">
      <c r="A34" s="21" t="n">
        <v>46247</v>
      </c>
      <c r="B34" s="4" t="s">
        <v>46</v>
      </c>
      <c r="C34" s="4" t="s">
        <v>31</v>
      </c>
      <c r="D34" s="4" t="s">
        <v>59</v>
      </c>
      <c r="E34" s="22" t="n">
        <v>60</v>
      </c>
    </row>
    <row r="35" customFormat="false" ht="15" hidden="false" customHeight="false" outlineLevel="0" collapsed="false">
      <c r="A35" s="21" t="n">
        <v>46248</v>
      </c>
      <c r="B35" s="4" t="s">
        <v>46</v>
      </c>
      <c r="C35" s="4" t="s">
        <v>30</v>
      </c>
      <c r="D35" s="4" t="s">
        <v>60</v>
      </c>
      <c r="E35" s="22" t="n">
        <v>9.99</v>
      </c>
    </row>
    <row r="36" customFormat="false" ht="15" hidden="false" customHeight="false" outlineLevel="0" collapsed="false">
      <c r="A36" s="21" t="n">
        <v>46248</v>
      </c>
      <c r="B36" s="4" t="s">
        <v>46</v>
      </c>
      <c r="C36" s="4" t="s">
        <v>26</v>
      </c>
      <c r="D36" s="4" t="s">
        <v>55</v>
      </c>
      <c r="E36" s="22" t="n">
        <v>412.6</v>
      </c>
    </row>
    <row r="37" customFormat="false" ht="15" hidden="false" customHeight="false" outlineLevel="0" collapsed="false">
      <c r="A37" s="21" t="n">
        <v>46249</v>
      </c>
      <c r="B37" s="4" t="s">
        <v>50</v>
      </c>
      <c r="C37" s="4" t="s">
        <v>61</v>
      </c>
      <c r="D37" s="4" t="s">
        <v>62</v>
      </c>
      <c r="E37" s="22" t="n">
        <v>445.97</v>
      </c>
    </row>
    <row r="38" customFormat="false" ht="15" hidden="false" customHeight="false" outlineLevel="0" collapsed="false">
      <c r="A38" s="21" t="n">
        <v>46252</v>
      </c>
      <c r="B38" s="4" t="s">
        <v>50</v>
      </c>
      <c r="C38" s="4" t="s">
        <v>51</v>
      </c>
      <c r="D38" s="4" t="s">
        <v>52</v>
      </c>
      <c r="E38" s="22" t="n">
        <v>1035.82</v>
      </c>
    </row>
    <row r="39" customFormat="false" ht="15" hidden="false" customHeight="false" outlineLevel="0" collapsed="false">
      <c r="A39" s="21" t="n">
        <v>46253</v>
      </c>
      <c r="B39" s="4" t="s">
        <v>50</v>
      </c>
      <c r="C39" s="4" t="s">
        <v>53</v>
      </c>
      <c r="D39" s="4" t="s">
        <v>54</v>
      </c>
      <c r="E39" s="22" t="n">
        <v>617.35</v>
      </c>
    </row>
    <row r="40" customFormat="false" ht="15" hidden="false" customHeight="false" outlineLevel="0" collapsed="false">
      <c r="A40" s="21" t="n">
        <v>46254</v>
      </c>
      <c r="B40" s="4" t="s">
        <v>46</v>
      </c>
      <c r="C40" s="4" t="s">
        <v>26</v>
      </c>
      <c r="D40" s="4" t="s">
        <v>55</v>
      </c>
      <c r="E40" s="22" t="n">
        <v>337.02</v>
      </c>
    </row>
    <row r="41" customFormat="false" ht="15" hidden="false" customHeight="false" outlineLevel="0" collapsed="false">
      <c r="A41" s="21" t="n">
        <v>46255</v>
      </c>
      <c r="B41" s="4" t="s">
        <v>46</v>
      </c>
      <c r="C41" s="4" t="s">
        <v>28</v>
      </c>
      <c r="D41" s="4" t="s">
        <v>56</v>
      </c>
      <c r="E41" s="22" t="n">
        <v>438.16</v>
      </c>
    </row>
    <row r="42" customFormat="false" ht="15" hidden="false" customHeight="false" outlineLevel="0" collapsed="false">
      <c r="A42" s="21" t="n">
        <v>46256</v>
      </c>
      <c r="B42" s="4" t="s">
        <v>46</v>
      </c>
      <c r="C42" s="4" t="s">
        <v>32</v>
      </c>
      <c r="D42" s="4" t="s">
        <v>63</v>
      </c>
      <c r="E42" s="22" t="n">
        <v>274.48</v>
      </c>
    </row>
    <row r="43" customFormat="false" ht="15" hidden="false" customHeight="false" outlineLevel="0" collapsed="false">
      <c r="A43" s="21" t="n">
        <v>46257</v>
      </c>
      <c r="B43" s="4" t="s">
        <v>46</v>
      </c>
      <c r="C43" s="4" t="s">
        <v>27</v>
      </c>
      <c r="D43" s="4" t="s">
        <v>64</v>
      </c>
      <c r="E43" s="22" t="n">
        <v>63.18</v>
      </c>
    </row>
    <row r="44" customFormat="false" ht="15" hidden="false" customHeight="false" outlineLevel="0" collapsed="false">
      <c r="A44" s="21" t="n">
        <v>46259</v>
      </c>
      <c r="B44" s="4" t="s">
        <v>50</v>
      </c>
      <c r="C44" s="4" t="s">
        <v>51</v>
      </c>
      <c r="D44" s="4" t="s">
        <v>52</v>
      </c>
      <c r="E44" s="22" t="n">
        <v>987.1</v>
      </c>
    </row>
    <row r="45" customFormat="false" ht="15" hidden="false" customHeight="false" outlineLevel="0" collapsed="false">
      <c r="A45" s="21" t="n">
        <v>46260</v>
      </c>
      <c r="B45" s="4" t="s">
        <v>50</v>
      </c>
      <c r="C45" s="4" t="s">
        <v>53</v>
      </c>
      <c r="D45" s="4" t="s">
        <v>54</v>
      </c>
      <c r="E45" s="22" t="n">
        <v>526.34</v>
      </c>
    </row>
    <row r="46" customFormat="false" ht="15" hidden="false" customHeight="false" outlineLevel="0" collapsed="false">
      <c r="A46" s="21" t="n">
        <v>46266</v>
      </c>
      <c r="B46" s="4" t="s">
        <v>46</v>
      </c>
      <c r="C46" s="4" t="s">
        <v>29</v>
      </c>
      <c r="D46" s="4" t="s">
        <v>47</v>
      </c>
      <c r="E46" s="22" t="n">
        <v>171.01</v>
      </c>
    </row>
    <row r="47" customFormat="false" ht="15" hidden="false" customHeight="false" outlineLevel="0" collapsed="false">
      <c r="A47" s="21" t="n">
        <v>46268</v>
      </c>
      <c r="B47" s="4" t="s">
        <v>46</v>
      </c>
      <c r="C47" s="4" t="s">
        <v>30</v>
      </c>
      <c r="D47" s="4" t="s">
        <v>49</v>
      </c>
      <c r="E47" s="22" t="n">
        <v>39</v>
      </c>
    </row>
    <row r="48" customFormat="false" ht="15" hidden="false" customHeight="false" outlineLevel="0" collapsed="false">
      <c r="A48" s="21" t="n">
        <v>46268</v>
      </c>
      <c r="B48" s="4" t="s">
        <v>46</v>
      </c>
      <c r="C48" s="4" t="s">
        <v>30</v>
      </c>
      <c r="D48" s="4" t="s">
        <v>48</v>
      </c>
      <c r="E48" s="22" t="n">
        <v>14.99</v>
      </c>
    </row>
    <row r="49" customFormat="false" ht="15" hidden="false" customHeight="false" outlineLevel="0" collapsed="false">
      <c r="A49" s="21" t="n">
        <v>46269</v>
      </c>
      <c r="B49" s="4" t="s">
        <v>50</v>
      </c>
      <c r="C49" s="4" t="s">
        <v>51</v>
      </c>
      <c r="D49" s="4" t="s">
        <v>52</v>
      </c>
      <c r="E49" s="22" t="n">
        <v>1027.89</v>
      </c>
    </row>
    <row r="50" customFormat="false" ht="15" hidden="false" customHeight="false" outlineLevel="0" collapsed="false">
      <c r="A50" s="21" t="n">
        <v>46270</v>
      </c>
      <c r="B50" s="4" t="s">
        <v>50</v>
      </c>
      <c r="C50" s="4" t="s">
        <v>53</v>
      </c>
      <c r="D50" s="4" t="s">
        <v>54</v>
      </c>
      <c r="E50" s="22" t="n">
        <v>588.86</v>
      </c>
    </row>
    <row r="51" customFormat="false" ht="15" hidden="false" customHeight="false" outlineLevel="0" collapsed="false">
      <c r="A51" s="21" t="n">
        <v>46271</v>
      </c>
      <c r="B51" s="4" t="s">
        <v>46</v>
      </c>
      <c r="C51" s="4" t="s">
        <v>26</v>
      </c>
      <c r="D51" s="4" t="s">
        <v>55</v>
      </c>
      <c r="E51" s="22" t="n">
        <v>400.98</v>
      </c>
    </row>
    <row r="52" customFormat="false" ht="15" hidden="false" customHeight="false" outlineLevel="0" collapsed="false">
      <c r="A52" s="21" t="n">
        <v>46272</v>
      </c>
      <c r="B52" s="4" t="s">
        <v>46</v>
      </c>
      <c r="C52" s="4" t="s">
        <v>28</v>
      </c>
      <c r="D52" s="4" t="s">
        <v>56</v>
      </c>
      <c r="E52" s="22" t="n">
        <v>404.41</v>
      </c>
    </row>
    <row r="53" customFormat="false" ht="15" hidden="false" customHeight="false" outlineLevel="0" collapsed="false">
      <c r="A53" s="21" t="n">
        <v>46274</v>
      </c>
      <c r="B53" s="4" t="s">
        <v>46</v>
      </c>
      <c r="C53" s="4" t="s">
        <v>27</v>
      </c>
      <c r="D53" s="4" t="s">
        <v>57</v>
      </c>
      <c r="E53" s="22" t="n">
        <v>774.75</v>
      </c>
    </row>
    <row r="54" customFormat="false" ht="15" hidden="false" customHeight="false" outlineLevel="0" collapsed="false">
      <c r="A54" s="21" t="n">
        <v>46275</v>
      </c>
      <c r="B54" s="4" t="s">
        <v>46</v>
      </c>
      <c r="C54" s="4" t="s">
        <v>30</v>
      </c>
      <c r="D54" s="4" t="s">
        <v>58</v>
      </c>
      <c r="E54" s="22" t="n">
        <v>29</v>
      </c>
    </row>
    <row r="55" customFormat="false" ht="15" hidden="false" customHeight="false" outlineLevel="0" collapsed="false">
      <c r="A55" s="21" t="n">
        <v>46276</v>
      </c>
      <c r="B55" s="4" t="s">
        <v>50</v>
      </c>
      <c r="C55" s="4" t="s">
        <v>51</v>
      </c>
      <c r="D55" s="4" t="s">
        <v>52</v>
      </c>
      <c r="E55" s="22" t="n">
        <v>896.95</v>
      </c>
    </row>
    <row r="56" customFormat="false" ht="15" hidden="false" customHeight="false" outlineLevel="0" collapsed="false">
      <c r="A56" s="21" t="n">
        <v>46276</v>
      </c>
      <c r="B56" s="4" t="s">
        <v>46</v>
      </c>
      <c r="C56" s="4" t="s">
        <v>33</v>
      </c>
      <c r="D56" s="4" t="s">
        <v>65</v>
      </c>
      <c r="E56" s="22" t="n">
        <v>75</v>
      </c>
    </row>
    <row r="57" customFormat="false" ht="15" hidden="false" customHeight="false" outlineLevel="0" collapsed="false">
      <c r="A57" s="21" t="n">
        <v>46277</v>
      </c>
      <c r="B57" s="4" t="s">
        <v>50</v>
      </c>
      <c r="C57" s="4" t="s">
        <v>53</v>
      </c>
      <c r="D57" s="4" t="s">
        <v>54</v>
      </c>
      <c r="E57" s="22" t="n">
        <v>548.41</v>
      </c>
    </row>
    <row r="58" customFormat="false" ht="15" hidden="false" customHeight="false" outlineLevel="0" collapsed="false">
      <c r="A58" s="21" t="n">
        <v>46278</v>
      </c>
      <c r="B58" s="4" t="s">
        <v>46</v>
      </c>
      <c r="C58" s="4" t="s">
        <v>31</v>
      </c>
      <c r="D58" s="4" t="s">
        <v>59</v>
      </c>
      <c r="E58" s="22" t="n">
        <v>60</v>
      </c>
    </row>
    <row r="59" customFormat="false" ht="15" hidden="false" customHeight="false" outlineLevel="0" collapsed="false">
      <c r="A59" s="21" t="n">
        <v>46279</v>
      </c>
      <c r="B59" s="4" t="s">
        <v>46</v>
      </c>
      <c r="C59" s="4" t="s">
        <v>30</v>
      </c>
      <c r="D59" s="4" t="s">
        <v>60</v>
      </c>
      <c r="E59" s="22" t="n">
        <v>9.99</v>
      </c>
    </row>
    <row r="60" customFormat="false" ht="15" hidden="false" customHeight="false" outlineLevel="0" collapsed="false">
      <c r="A60" s="21" t="n">
        <v>46280</v>
      </c>
      <c r="B60" s="4" t="s">
        <v>50</v>
      </c>
      <c r="C60" s="4" t="s">
        <v>61</v>
      </c>
      <c r="D60" s="4" t="s">
        <v>62</v>
      </c>
      <c r="E60" s="22" t="n">
        <v>501.57</v>
      </c>
    </row>
    <row r="61" customFormat="false" ht="15" hidden="false" customHeight="false" outlineLevel="0" collapsed="false">
      <c r="A61" s="21" t="n">
        <v>46281</v>
      </c>
      <c r="B61" s="4" t="s">
        <v>46</v>
      </c>
      <c r="C61" s="4" t="s">
        <v>27</v>
      </c>
      <c r="D61" s="4" t="s">
        <v>66</v>
      </c>
      <c r="E61" s="22" t="n">
        <v>118.4</v>
      </c>
    </row>
    <row r="62" customFormat="false" ht="15" hidden="false" customHeight="false" outlineLevel="0" collapsed="false">
      <c r="A62" s="21" t="n">
        <v>46283</v>
      </c>
      <c r="B62" s="4" t="s">
        <v>50</v>
      </c>
      <c r="C62" s="4" t="s">
        <v>51</v>
      </c>
      <c r="D62" s="4" t="s">
        <v>52</v>
      </c>
      <c r="E62" s="22" t="n">
        <v>896.09</v>
      </c>
    </row>
    <row r="63" customFormat="false" ht="15" hidden="false" customHeight="false" outlineLevel="0" collapsed="false">
      <c r="A63" s="21" t="n">
        <v>46284</v>
      </c>
      <c r="B63" s="4" t="s">
        <v>50</v>
      </c>
      <c r="C63" s="4" t="s">
        <v>53</v>
      </c>
      <c r="D63" s="4" t="s">
        <v>54</v>
      </c>
      <c r="E63" s="22" t="n">
        <v>530.26</v>
      </c>
    </row>
    <row r="64" customFormat="false" ht="15" hidden="false" customHeight="false" outlineLevel="0" collapsed="false">
      <c r="A64" s="21" t="n">
        <v>46285</v>
      </c>
      <c r="B64" s="4" t="s">
        <v>46</v>
      </c>
      <c r="C64" s="4" t="s">
        <v>26</v>
      </c>
      <c r="D64" s="4" t="s">
        <v>55</v>
      </c>
      <c r="E64" s="22" t="n">
        <v>395.33</v>
      </c>
    </row>
    <row r="65" customFormat="false" ht="15" hidden="false" customHeight="false" outlineLevel="0" collapsed="false">
      <c r="A65" s="21" t="n">
        <v>46286</v>
      </c>
      <c r="B65" s="4" t="s">
        <v>46</v>
      </c>
      <c r="C65" s="4" t="s">
        <v>28</v>
      </c>
      <c r="D65" s="4" t="s">
        <v>56</v>
      </c>
      <c r="E65" s="22" t="n">
        <v>437.44</v>
      </c>
    </row>
    <row r="66" customFormat="false" ht="15" hidden="false" customHeight="false" outlineLevel="0" collapsed="false">
      <c r="A66" s="21" t="n">
        <v>46287</v>
      </c>
      <c r="B66" s="4" t="s">
        <v>46</v>
      </c>
      <c r="C66" s="4" t="s">
        <v>32</v>
      </c>
      <c r="D66" s="4" t="s">
        <v>63</v>
      </c>
      <c r="E66" s="22" t="n">
        <v>375.03</v>
      </c>
    </row>
    <row r="67" customFormat="false" ht="15" hidden="false" customHeight="false" outlineLevel="0" collapsed="false">
      <c r="A67" s="21" t="n">
        <v>46290</v>
      </c>
      <c r="B67" s="4" t="s">
        <v>50</v>
      </c>
      <c r="C67" s="4" t="s">
        <v>51</v>
      </c>
      <c r="D67" s="4" t="s">
        <v>52</v>
      </c>
      <c r="E67" s="22" t="n">
        <v>935.61</v>
      </c>
    </row>
    <row r="68" customFormat="false" ht="15" hidden="false" customHeight="false" outlineLevel="0" collapsed="false">
      <c r="A68" s="21" t="n">
        <v>46291</v>
      </c>
      <c r="B68" s="4" t="s">
        <v>50</v>
      </c>
      <c r="C68" s="4" t="s">
        <v>53</v>
      </c>
      <c r="D68" s="4" t="s">
        <v>54</v>
      </c>
      <c r="E68" s="22" t="n">
        <v>573.69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2026-10-09T21:20:47Z</dcterms:created>
  <dc:creator>openpyxl</dc:creator>
  <dc:description/>
  <dc:language>en-US</dc:language>
  <cp:lastModifiedBy/>
  <dcterms:modified xsi:type="dcterms:W3CDTF">2026-10-09T22:20:53Z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